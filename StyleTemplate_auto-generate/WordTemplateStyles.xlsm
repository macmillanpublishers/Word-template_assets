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929" codeName="{7A2D7E96-6E34-419A-AE5F-296B3A7E7977}"/>
  <workbookPr showInkAnnotation="0" codeName="ThisWorkbook" autoCompressPictures="0"/>
  <bookViews>
    <workbookView xWindow="1540" yWindow="1340" windowWidth="32560" windowHeight="17880" tabRatio="500"/>
  </bookViews>
  <sheets>
    <sheet name="Styles" sheetId="1" r:id="rId1"/>
    <sheet name="validation_menus" sheetId="2" r:id="rId2"/>
  </sheets>
  <definedNames>
    <definedName name="_xlnm._FilterDatabase" localSheetId="0" hidden="1">Styles!$A$3:$CM$481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9" i="1" l="1"/>
  <c r="CL329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4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325" i="1"/>
  <c r="CL326" i="1"/>
  <c r="CL327" i="1"/>
  <c r="CL328" i="1"/>
  <c r="CL330" i="1"/>
  <c r="CL331" i="1"/>
  <c r="CL332" i="1"/>
  <c r="CL333" i="1"/>
  <c r="CL334" i="1"/>
  <c r="CL335" i="1"/>
  <c r="CL336" i="1"/>
  <c r="CL337" i="1"/>
  <c r="CL338" i="1"/>
  <c r="CL339" i="1"/>
  <c r="CL340" i="1"/>
  <c r="CL341" i="1"/>
  <c r="CL342" i="1"/>
  <c r="CL343" i="1"/>
  <c r="CL344" i="1"/>
  <c r="CL345" i="1"/>
  <c r="CL346" i="1"/>
  <c r="CL347" i="1"/>
  <c r="CL348" i="1"/>
  <c r="CL349" i="1"/>
  <c r="CL350" i="1"/>
  <c r="CL351" i="1"/>
  <c r="CL352" i="1"/>
  <c r="CL353" i="1"/>
  <c r="CL354" i="1"/>
  <c r="CL355" i="1"/>
  <c r="CL356" i="1"/>
  <c r="CL357" i="1"/>
  <c r="CL358" i="1"/>
  <c r="CL359" i="1"/>
  <c r="CL360" i="1"/>
  <c r="CL361" i="1"/>
  <c r="CL362" i="1"/>
  <c r="CL363" i="1"/>
  <c r="CL364" i="1"/>
  <c r="CL365" i="1"/>
  <c r="CL366" i="1"/>
  <c r="CL367" i="1"/>
  <c r="CL368" i="1"/>
  <c r="CL369" i="1"/>
  <c r="CL370" i="1"/>
  <c r="CL371" i="1"/>
  <c r="CL372" i="1"/>
  <c r="CL373" i="1"/>
  <c r="CL374" i="1"/>
  <c r="CL375" i="1"/>
  <c r="CL376" i="1"/>
  <c r="CL377" i="1"/>
  <c r="CL378" i="1"/>
  <c r="CL379" i="1"/>
  <c r="CL380" i="1"/>
  <c r="CL381" i="1"/>
  <c r="CL382" i="1"/>
  <c r="CL383" i="1"/>
  <c r="CL384" i="1"/>
  <c r="CL385" i="1"/>
  <c r="CL386" i="1"/>
  <c r="CL387" i="1"/>
  <c r="CL388" i="1"/>
  <c r="CL389" i="1"/>
  <c r="CL390" i="1"/>
  <c r="CL391" i="1"/>
  <c r="CL392" i="1"/>
  <c r="CL393" i="1"/>
  <c r="CL394" i="1"/>
  <c r="CL395" i="1"/>
  <c r="CL396" i="1"/>
  <c r="CL397" i="1"/>
  <c r="CL398" i="1"/>
  <c r="CL399" i="1"/>
  <c r="CL400" i="1"/>
  <c r="CL401" i="1"/>
  <c r="CL402" i="1"/>
  <c r="CL403" i="1"/>
  <c r="CL404" i="1"/>
  <c r="CL405" i="1"/>
  <c r="CL406" i="1"/>
  <c r="CL407" i="1"/>
  <c r="CL408" i="1"/>
  <c r="CL409" i="1"/>
  <c r="CL410" i="1"/>
  <c r="CL411" i="1"/>
  <c r="CL412" i="1"/>
  <c r="CL413" i="1"/>
  <c r="CL414" i="1"/>
  <c r="CL415" i="1"/>
  <c r="CL416" i="1"/>
  <c r="CL417" i="1"/>
  <c r="CL418" i="1"/>
  <c r="CL419" i="1"/>
  <c r="CL420" i="1"/>
  <c r="CL421" i="1"/>
  <c r="CL422" i="1"/>
  <c r="CL423" i="1"/>
  <c r="CL424" i="1"/>
  <c r="CL425" i="1"/>
  <c r="CL426" i="1"/>
  <c r="CL427" i="1"/>
  <c r="CL428" i="1"/>
  <c r="CL429" i="1"/>
  <c r="CL430" i="1"/>
  <c r="CL431" i="1"/>
  <c r="CL432" i="1"/>
  <c r="CL433" i="1"/>
  <c r="CL434" i="1"/>
  <c r="CL435" i="1"/>
  <c r="CL436" i="1"/>
  <c r="CL437" i="1"/>
  <c r="CL438" i="1"/>
  <c r="CL439" i="1"/>
  <c r="CL440" i="1"/>
  <c r="CL441" i="1"/>
  <c r="CL442" i="1"/>
  <c r="CL443" i="1"/>
  <c r="CL444" i="1"/>
  <c r="CL445" i="1"/>
  <c r="CL446" i="1"/>
  <c r="CL447" i="1"/>
  <c r="CL448" i="1"/>
  <c r="CL449" i="1"/>
  <c r="CL450" i="1"/>
  <c r="CL451" i="1"/>
  <c r="CL452" i="1"/>
  <c r="CL453" i="1"/>
  <c r="CL454" i="1"/>
  <c r="CL455" i="1"/>
  <c r="CL456" i="1"/>
  <c r="CL457" i="1"/>
  <c r="CL458" i="1"/>
  <c r="CL459" i="1"/>
  <c r="CL460" i="1"/>
  <c r="CL461" i="1"/>
  <c r="CL462" i="1"/>
  <c r="CL463" i="1"/>
  <c r="CL464" i="1"/>
  <c r="CL465" i="1"/>
  <c r="CL466" i="1"/>
  <c r="CL467" i="1"/>
  <c r="CL468" i="1"/>
  <c r="CL469" i="1"/>
  <c r="CL470" i="1"/>
  <c r="CL471" i="1"/>
  <c r="CL472" i="1"/>
  <c r="CL473" i="1"/>
  <c r="CL474" i="1"/>
  <c r="CL475" i="1"/>
  <c r="CL476" i="1"/>
  <c r="CL477" i="1"/>
  <c r="CL478" i="1"/>
  <c r="CL479" i="1"/>
  <c r="CL480" i="1"/>
  <c r="CL481" i="1"/>
  <c r="CL5" i="1"/>
  <c r="CL6" i="1"/>
  <c r="CL7" i="1"/>
  <c r="CL8" i="1"/>
  <c r="CL9" i="1"/>
  <c r="CL10" i="1"/>
  <c r="CL11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3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89" i="1"/>
  <c r="CL90" i="1"/>
  <c r="CL91" i="1"/>
  <c r="CL92" i="1"/>
  <c r="CL93" i="1"/>
  <c r="CL94" i="1"/>
  <c r="CL95" i="1"/>
  <c r="CL96" i="1"/>
  <c r="CL97" i="1"/>
  <c r="CL98" i="1"/>
  <c r="CL99" i="1"/>
  <c r="CL100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164" i="1"/>
  <c r="CL165" i="1"/>
  <c r="CL166" i="1"/>
  <c r="CL167" i="1"/>
  <c r="CL168" i="1"/>
  <c r="CL169" i="1"/>
  <c r="CL170" i="1"/>
  <c r="CL171" i="1"/>
  <c r="CL172" i="1"/>
  <c r="CL173" i="1"/>
  <c r="CL174" i="1"/>
  <c r="CL175" i="1"/>
  <c r="CL176" i="1"/>
  <c r="CL177" i="1"/>
  <c r="CL178" i="1"/>
  <c r="CL179" i="1"/>
  <c r="CL180" i="1"/>
  <c r="CL181" i="1"/>
  <c r="CL182" i="1"/>
  <c r="CL183" i="1"/>
  <c r="CL184" i="1"/>
  <c r="CL185" i="1"/>
  <c r="CL186" i="1"/>
  <c r="CL187" i="1"/>
  <c r="CL188" i="1"/>
  <c r="CL189" i="1"/>
  <c r="CL190" i="1"/>
  <c r="CL191" i="1"/>
  <c r="CL192" i="1"/>
  <c r="CL193" i="1"/>
  <c r="CL194" i="1"/>
  <c r="CL195" i="1"/>
  <c r="CL196" i="1"/>
  <c r="CL197" i="1"/>
  <c r="CL198" i="1"/>
  <c r="CL199" i="1"/>
  <c r="CL200" i="1"/>
  <c r="CL201" i="1"/>
  <c r="CL202" i="1"/>
  <c r="CL203" i="1"/>
  <c r="CL204" i="1"/>
  <c r="CL205" i="1"/>
  <c r="CL206" i="1"/>
  <c r="CL207" i="1"/>
  <c r="CL208" i="1"/>
  <c r="CL209" i="1"/>
  <c r="CL210" i="1"/>
  <c r="CL211" i="1"/>
  <c r="CL212" i="1"/>
  <c r="CL213" i="1"/>
  <c r="CL214" i="1"/>
  <c r="CL215" i="1"/>
  <c r="CL216" i="1"/>
  <c r="CL217" i="1"/>
  <c r="CL218" i="1"/>
  <c r="CL219" i="1"/>
  <c r="CL220" i="1"/>
  <c r="CL221" i="1"/>
  <c r="CL222" i="1"/>
  <c r="CL223" i="1"/>
  <c r="CL224" i="1"/>
  <c r="CL225" i="1"/>
  <c r="CL226" i="1"/>
  <c r="CL227" i="1"/>
  <c r="CL228" i="1"/>
  <c r="CL229" i="1"/>
  <c r="CL230" i="1"/>
  <c r="CL231" i="1"/>
  <c r="CL232" i="1"/>
  <c r="CL233" i="1"/>
  <c r="CL234" i="1"/>
  <c r="CL235" i="1"/>
  <c r="CL236" i="1"/>
  <c r="CL237" i="1"/>
  <c r="CL238" i="1"/>
  <c r="CL239" i="1"/>
  <c r="CL240" i="1"/>
  <c r="CL241" i="1"/>
  <c r="CL242" i="1"/>
  <c r="CL243" i="1"/>
  <c r="CL244" i="1"/>
  <c r="CL245" i="1"/>
  <c r="CL246" i="1"/>
  <c r="CL247" i="1"/>
  <c r="CL248" i="1"/>
  <c r="CL249" i="1"/>
  <c r="CL250" i="1"/>
  <c r="CL251" i="1"/>
  <c r="CL252" i="1"/>
  <c r="CL253" i="1"/>
  <c r="CL254" i="1"/>
  <c r="CL255" i="1"/>
  <c r="CL256" i="1"/>
  <c r="CL257" i="1"/>
  <c r="CL258" i="1"/>
  <c r="CL259" i="1"/>
  <c r="CL260" i="1"/>
  <c r="CL261" i="1"/>
  <c r="CL262" i="1"/>
  <c r="CL263" i="1"/>
  <c r="CL264" i="1"/>
  <c r="CL265" i="1"/>
  <c r="CL266" i="1"/>
  <c r="CL267" i="1"/>
  <c r="CL268" i="1"/>
  <c r="CL269" i="1"/>
  <c r="CL270" i="1"/>
  <c r="CL271" i="1"/>
  <c r="CL272" i="1"/>
  <c r="CL273" i="1"/>
  <c r="CL274" i="1"/>
  <c r="CL275" i="1"/>
  <c r="CL276" i="1"/>
  <c r="CL277" i="1"/>
  <c r="CL278" i="1"/>
  <c r="CL279" i="1"/>
  <c r="CL280" i="1"/>
  <c r="CL281" i="1"/>
  <c r="CL282" i="1"/>
  <c r="CL283" i="1"/>
  <c r="CL284" i="1"/>
  <c r="CL285" i="1"/>
  <c r="CL286" i="1"/>
  <c r="CL287" i="1"/>
  <c r="CL288" i="1"/>
  <c r="CL289" i="1"/>
  <c r="CL290" i="1"/>
  <c r="CL291" i="1"/>
  <c r="CL292" i="1"/>
  <c r="CL293" i="1"/>
  <c r="CL294" i="1"/>
  <c r="CL295" i="1"/>
  <c r="CL296" i="1"/>
  <c r="CL297" i="1"/>
  <c r="CL298" i="1"/>
  <c r="CL299" i="1"/>
  <c r="CL300" i="1"/>
  <c r="CL301" i="1"/>
  <c r="CL302" i="1"/>
  <c r="CL303" i="1"/>
  <c r="CL304" i="1"/>
  <c r="CL305" i="1"/>
  <c r="CL306" i="1"/>
  <c r="CL307" i="1"/>
  <c r="CL308" i="1"/>
  <c r="CL309" i="1"/>
  <c r="CL310" i="1"/>
  <c r="CL311" i="1"/>
  <c r="CL312" i="1"/>
  <c r="CL313" i="1"/>
  <c r="CL314" i="1"/>
  <c r="CL315" i="1"/>
  <c r="CL316" i="1"/>
  <c r="CL317" i="1"/>
  <c r="CL318" i="1"/>
  <c r="CL319" i="1"/>
  <c r="CL320" i="1"/>
  <c r="CL321" i="1"/>
  <c r="CL322" i="1"/>
  <c r="CL323" i="1"/>
  <c r="CL324" i="1"/>
  <c r="CL4" i="1"/>
</calcChain>
</file>

<file path=xl/sharedStrings.xml><?xml version="1.0" encoding="utf-8"?>
<sst xmlns="http://schemas.openxmlformats.org/spreadsheetml/2006/main" count="5779" uniqueCount="1557">
  <si>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</si>
  <si>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</si>
  <si>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</si>
  <si>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</si>
  <si>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</si>
  <si>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</si>
  <si>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</si>
  <si>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</si>
  <si>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</si>
  <si>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</si>
  <si>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</si>
  <si>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</si>
  <si>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</si>
  <si>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</si>
  <si>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</si>
  <si>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</si>
  <si>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</si>
  <si>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</si>
  <si>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</si>
  <si>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</si>
  <si>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</si>
  <si>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</si>
  <si>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</si>
  <si>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</si>
  <si>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</si>
  <si>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</si>
  <si>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</si>
  <si>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</si>
  <si>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</si>
  <si>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</si>
  <si>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</si>
  <si>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</si>
  <si>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</si>
  <si>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</si>
  <si>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</si>
  <si>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</si>
  <si>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</si>
  <si>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</si>
  <si>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</si>
  <si>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</si>
  <si>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</si>
  <si>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</si>
  <si>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</si>
  <si>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</si>
  <si>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</si>
  <si>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</si>
  <si>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</si>
  <si>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</si>
  <si>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</si>
  <si>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</si>
  <si>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</si>
  <si>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</si>
  <si>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</si>
  <si>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</si>
  <si>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</si>
  <si>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</si>
  <si>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</si>
  <si>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</si>
  <si>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</si>
  <si>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</si>
  <si>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</si>
  <si>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</si>
  <si>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</si>
  <si>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</si>
  <si>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</si>
  <si>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</si>
  <si>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</si>
  <si>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</si>
  <si>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</si>
  <si>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</si>
  <si>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</si>
  <si>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</si>
  <si>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</si>
  <si>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</si>
  <si>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</si>
  <si>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</si>
  <si>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</si>
  <si>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</si>
  <si>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</si>
  <si>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</si>
  <si>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</si>
  <si>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</si>
  <si>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</si>
  <si>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</si>
  <si>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</si>
  <si>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</si>
  <si>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</si>
  <si>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</si>
  <si>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</si>
  <si>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</si>
  <si>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</si>
  <si>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</si>
  <si>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</si>
  <si>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</si>
  <si>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</si>
  <si>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</si>
  <si>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</si>
  <si>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</si>
  <si>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</si>
  <si>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</si>
  <si>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</si>
  <si>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</si>
  <si>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</si>
  <si>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</si>
  <si>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</si>
  <si>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</si>
  <si>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</si>
  <si>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</si>
  <si>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</si>
  <si>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</si>
  <si>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</si>
  <si>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</si>
  <si>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</si>
  <si>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</si>
  <si>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</si>
  <si>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</si>
  <si>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</si>
  <si>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</si>
  <si>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</si>
  <si>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</si>
  <si>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</si>
  <si>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</si>
  <si>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</si>
  <si>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</si>
  <si>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</si>
  <si>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</si>
  <si>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</si>
  <si>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</si>
  <si>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</si>
  <si>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102,255,51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</si>
  <si>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</si>
  <si>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</si>
  <si>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</si>
  <si>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</si>
  <si>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</si>
  <si>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</si>
  <si>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</si>
  <si>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</si>
  <si>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</si>
  <si>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</si>
  <si>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</si>
  <si>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</si>
  <si>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</si>
  <si>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</si>
  <si>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</si>
  <si>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</si>
  <si>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</si>
  <si>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</si>
  <si>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</si>
  <si>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</si>
  <si>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</si>
  <si>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</si>
  <si>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</si>
  <si>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</si>
  <si>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</si>
  <si>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</si>
  <si>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</si>
  <si>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</si>
  <si>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</si>
  <si>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</si>
  <si>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</si>
  <si>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</si>
  <si>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</si>
  <si>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</si>
  <si>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</si>
  <si>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</si>
  <si>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</si>
  <si>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</si>
  <si>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</si>
  <si>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</si>
  <si>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</si>
  <si>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</si>
  <si>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</si>
  <si>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</si>
  <si>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</si>
  <si>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</si>
  <si>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</si>
  <si>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</si>
  <si>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</si>
  <si>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</si>
  <si>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</si>
  <si>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</si>
  <si>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</si>
  <si>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</si>
  <si>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</si>
  <si>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</si>
  <si>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</si>
  <si>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</si>
  <si>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</si>
  <si>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</si>
  <si>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</si>
  <si>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</si>
  <si>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</si>
  <si>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</si>
  <si>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</si>
  <si>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</si>
  <si>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</si>
  <si>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</si>
  <si>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</si>
  <si>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</si>
  <si>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</si>
  <si>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</si>
  <si>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</si>
  <si>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</si>
  <si>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</si>
  <si>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</si>
  <si>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</si>
  <si>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</si>
  <si>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</si>
  <si>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</si>
  <si>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</si>
  <si>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</si>
  <si>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</si>
  <si>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</si>
  <si>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</si>
  <si>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</si>
  <si>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</si>
  <si>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</si>
  <si>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</si>
  <si>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</si>
  <si>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</si>
  <si>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</si>
  <si>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</si>
  <si>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</si>
  <si>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</si>
  <si>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</si>
  <si>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</si>
  <si>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</si>
  <si>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</si>
  <si>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</si>
  <si>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</si>
  <si>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</si>
  <si>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</si>
  <si>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</si>
  <si>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</si>
  <si>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</si>
  <si>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</si>
  <si>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</si>
  <si>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</si>
  <si>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</si>
  <si>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</si>
  <si>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</si>
  <si>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</si>
  <si>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</si>
  <si>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</si>
  <si>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</si>
  <si>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</si>
  <si>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</si>
  <si>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</si>
  <si>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</si>
  <si>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</si>
  <si>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</si>
  <si>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</si>
  <si>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</si>
  <si>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</si>
  <si>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</si>
  <si>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</si>
  <si>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</si>
  <si>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</si>
  <si>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</si>
  <si>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</si>
  <si>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</si>
  <si>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</si>
  <si>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</si>
  <si>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</si>
  <si>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</si>
  <si>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</si>
  <si>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</si>
  <si>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</si>
  <si>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</si>
  <si>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</si>
  <si>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</si>
  <si>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</si>
  <si>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</si>
  <si>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</si>
  <si>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</si>
  <si>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</si>
  <si>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</si>
  <si>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</si>
  <si>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</si>
  <si>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</si>
  <si>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</si>
  <si>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</si>
  <si>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</si>
  <si>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</si>
  <si>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</si>
  <si>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</si>
  <si>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</si>
  <si>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</si>
  <si>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</si>
  <si>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</si>
  <si>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</si>
  <si>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</si>
  <si>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</si>
  <si>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</si>
  <si>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</si>
  <si>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</si>
  <si>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</si>
  <si>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</si>
  <si>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</si>
  <si>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</si>
  <si>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</si>
  <si>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</si>
  <si>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</si>
  <si>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</si>
  <si>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</si>
  <si>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</si>
  <si>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</si>
  <si>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</si>
  <si>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</si>
  <si>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</si>
  <si>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</si>
  <si>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</si>
  <si>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</si>
  <si>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</si>
  <si>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</si>
  <si>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</si>
  <si>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</si>
  <si>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</si>
  <si>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</si>
  <si>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</si>
  <si>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</si>
  <si>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</si>
  <si>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</si>
  <si>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</si>
  <si>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</si>
  <si>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</si>
  <si>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</si>
  <si>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</si>
  <si>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</si>
  <si>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</si>
  <si>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</si>
  <si>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</si>
  <si>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</si>
  <si>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</si>
  <si>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</si>
  <si>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</si>
  <si>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</si>
  <si>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</si>
  <si>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</si>
  <si>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</si>
  <si>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</si>
  <si>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</si>
  <si>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</si>
  <si>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</si>
  <si>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</si>
  <si>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</si>
  <si>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</si>
  <si>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</si>
  <si>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</si>
  <si>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</si>
  <si>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</si>
  <si>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</si>
  <si>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</si>
  <si>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</si>
  <si>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</si>
  <si>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</si>
  <si>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</si>
  <si>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</si>
  <si>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</si>
  <si>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</si>
  <si>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</si>
  <si>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</si>
  <si>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</si>
  <si>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</si>
  <si>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</si>
  <si>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</si>
  <si>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</si>
  <si>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</si>
  <si>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</si>
  <si>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</si>
  <si>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</si>
  <si>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</si>
  <si>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</si>
  <si>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</si>
  <si>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</si>
  <si>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</si>
  <si>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</si>
  <si>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</si>
  <si>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</si>
  <si>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</si>
  <si>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</si>
  <si>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</si>
  <si>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</si>
  <si>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</si>
  <si>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</si>
  <si>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</si>
  <si>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</si>
  <si>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</si>
  <si>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</si>
  <si>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</si>
  <si>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</si>
  <si>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</si>
  <si>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</si>
  <si>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</si>
  <si>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</si>
  <si>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</si>
  <si>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</si>
  <si>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</si>
  <si>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</si>
  <si>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</si>
  <si>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</si>
  <si>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</si>
  <si>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</si>
  <si>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</si>
  <si>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</si>
  <si>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</si>
  <si>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</si>
  <si>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</si>
  <si>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</si>
  <si>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</si>
  <si>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</si>
  <si>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</si>
  <si>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</si>
  <si>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</si>
  <si>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</si>
  <si>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</si>
  <si>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</si>
  <si>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</si>
  <si>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</si>
  <si>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</si>
  <si>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</si>
  <si>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</si>
  <si>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</si>
  <si>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</si>
  <si>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</si>
  <si>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</si>
  <si>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</si>
  <si>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</si>
  <si>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</si>
  <si>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</si>
  <si>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</si>
  <si>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</si>
  <si>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</si>
  <si>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</si>
  <si>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</si>
  <si>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</si>
  <si>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</si>
  <si>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</si>
  <si>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</si>
  <si>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</si>
  <si>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</si>
  <si>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</si>
  <si>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</si>
  <si>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</si>
  <si>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</si>
  <si>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</si>
  <si>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</si>
  <si>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</si>
  <si>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</si>
  <si>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</si>
  <si>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</si>
  <si>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</si>
  <si>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</si>
  <si>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</si>
  <si>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</si>
  <si>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</si>
  <si>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</si>
  <si>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</si>
  <si>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</si>
  <si>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</si>
  <si>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</si>
  <si>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</si>
  <si>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</si>
  <si>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</si>
  <si>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</si>
  <si>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</si>
  <si>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</si>
  <si>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</si>
  <si>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</si>
  <si>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</si>
  <si>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</si>
  <si>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</si>
  <si>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</si>
  <si>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</si>
  <si>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</si>
  <si>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</si>
  <si>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</si>
  <si>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</si>
  <si>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</si>
  <si>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</si>
  <si>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</si>
  <si>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</si>
  <si>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</si>
  <si>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</si>
  <si>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</si>
  <si>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</si>
  <si>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</si>
  <si>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</si>
  <si>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</si>
  <si>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</si>
  <si>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</si>
  <si>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</si>
  <si>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</si>
  <si>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</si>
  <si>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</si>
  <si>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</si>
  <si>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</si>
  <si>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</si>
  <si>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</si>
  <si>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</si>
  <si>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</si>
  <si>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</si>
  <si>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</si>
  <si>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</si>
  <si>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</si>
  <si>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</si>
  <si>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</si>
  <si>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</si>
  <si>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</si>
  <si>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</si>
  <si>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</si>
  <si>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</si>
  <si>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</si>
  <si>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</si>
  <si>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</si>
  <si>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</si>
  <si>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</si>
  <si>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</si>
  <si>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</si>
  <si>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</si>
  <si>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</si>
  <si>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</si>
  <si>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</si>
  <si>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</si>
  <si>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</si>
  <si>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</si>
  <si>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</si>
  <si>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</si>
  <si>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</si>
  <si>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</si>
  <si>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</si>
  <si>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</si>
  <si>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</si>
  <si>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</si>
  <si>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</si>
  <si>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</si>
  <si>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</si>
  <si>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</si>
  <si>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</si>
  <si>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</si>
  <si>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</si>
  <si>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</si>
  <si>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</si>
  <si>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</si>
  <si>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</si>
  <si>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</si>
  <si>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</si>
  <si>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</si>
  <si>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</si>
  <si>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</si>
  <si>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</si>
  <si>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</si>
  <si>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</si>
  <si>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</si>
  <si>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</si>
  <si>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</si>
  <si>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</si>
  <si>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</si>
  <si>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</si>
  <si>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</si>
  <si>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</si>
  <si>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</si>
  <si>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</si>
  <si>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</si>
  <si>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</si>
  <si>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</si>
  <si>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</si>
  <si>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</si>
  <si>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</si>
  <si>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</si>
  <si>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</si>
  <si>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</si>
  <si>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</si>
  <si>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</si>
  <si>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</si>
  <si>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</si>
  <si>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</si>
  <si>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</si>
  <si>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</si>
  <si>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</si>
  <si>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</si>
  <si>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</si>
  <si>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</si>
  <si>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</si>
  <si>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</si>
  <si>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</si>
  <si>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</si>
  <si>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</si>
  <si>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</si>
  <si>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</si>
  <si>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</si>
  <si>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</si>
  <si>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</si>
  <si>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</si>
  <si>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</si>
  <si>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</si>
  <si>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</si>
  <si>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</si>
  <si>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</si>
  <si>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</si>
  <si>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</si>
  <si>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</si>
  <si>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</si>
  <si>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</si>
  <si>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</si>
  <si>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</si>
  <si>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</si>
  <si>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</si>
  <si>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</si>
  <si>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</si>
  <si>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</si>
  <si>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</si>
  <si>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</si>
  <si>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</si>
  <si>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</si>
  <si>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</si>
  <si>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</si>
  <si>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</si>
  <si>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</si>
  <si>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</si>
  <si>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</si>
  <si>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</si>
  <si>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</si>
  <si>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</si>
  <si>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</si>
  <si>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</si>
  <si>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</si>
  <si>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</si>
  <si>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</si>
  <si>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</si>
  <si>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</si>
  <si>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</si>
  <si>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</si>
  <si>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</si>
  <si>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</si>
  <si>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</si>
  <si>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</si>
  <si>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</si>
  <si>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</si>
  <si>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</si>
  <si>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</si>
  <si>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</si>
  <si>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</si>
  <si>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</si>
  <si>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</si>
  <si>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</si>
  <si>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</si>
  <si>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</si>
  <si>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</si>
  <si>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</si>
  <si>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</si>
  <si>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</si>
  <si>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</si>
  <si>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</si>
  <si>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</si>
  <si>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</si>
  <si>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</si>
  <si>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</si>
  <si>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</si>
  <si>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</si>
  <si>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</si>
  <si>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</si>
  <si>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</si>
  <si>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</si>
  <si>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</si>
  <si>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</si>
  <si>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</si>
  <si>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</si>
  <si>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</si>
  <si>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</si>
  <si>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</si>
  <si>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</si>
  <si>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</si>
  <si>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</si>
  <si>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</si>
  <si>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</si>
  <si>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</si>
  <si>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</si>
  <si>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</si>
  <si>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</si>
  <si>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</si>
  <si>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</si>
  <si>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</si>
  <si>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</si>
  <si>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</si>
  <si>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</si>
  <si>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</si>
  <si>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</si>
  <si>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</si>
  <si>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</si>
  <si>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</si>
  <si>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</si>
  <si>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</si>
  <si>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</si>
  <si>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</si>
  <si>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</si>
  <si>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</si>
  <si>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</si>
  <si>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</si>
  <si>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</si>
  <si>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</si>
  <si>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</si>
  <si>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</si>
  <si>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</si>
  <si>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</si>
  <si>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</si>
  <si>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</si>
  <si>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</si>
  <si>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</si>
  <si>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</si>
  <si>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</si>
  <si>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</si>
  <si>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</si>
  <si>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</si>
  <si>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</si>
  <si>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</si>
  <si>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</si>
  <si>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</si>
  <si>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</si>
  <si>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</si>
  <si>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</si>
  <si>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</si>
  <si>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</si>
  <si>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</si>
  <si>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</si>
  <si>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</si>
  <si>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</si>
  <si>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</si>
  <si>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</si>
  <si>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</si>
  <si>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</si>
  <si>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</si>
  <si>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</si>
  <si>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</si>
  <si>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</si>
  <si>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</si>
  <si>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</si>
  <si>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</si>
  <si>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</si>
  <si>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</si>
  <si>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</si>
  <si>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</si>
  <si>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</si>
  <si>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</si>
  <si>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</si>
  <si>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</si>
  <si>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</si>
  <si>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</si>
  <si>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</si>
  <si>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</si>
  <si>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</si>
  <si>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</si>
  <si>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</si>
  <si>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</si>
  <si>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</si>
  <si>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</si>
  <si>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</si>
  <si>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</si>
  <si>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</si>
  <si>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</si>
  <si>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</si>
  <si>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</si>
  <si>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</si>
  <si>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</si>
  <si>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</si>
  <si>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</si>
  <si>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</si>
  <si>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</si>
  <si>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</si>
  <si>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</si>
  <si>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</si>
  <si>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</si>
  <si>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</si>
  <si>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</si>
  <si>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</si>
  <si>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</si>
  <si>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</si>
  <si>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</si>
  <si>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</si>
  <si>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</si>
  <si>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</si>
  <si>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</si>
  <si>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</si>
  <si>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</si>
  <si>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</si>
  <si>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</si>
  <si>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</si>
  <si>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</si>
  <si>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</si>
  <si>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</si>
  <si>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</si>
  <si>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</si>
  <si>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</si>
  <si>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</si>
  <si>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</si>
  <si>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</si>
  <si>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</si>
  <si>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</si>
  <si>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</si>
  <si>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</si>
  <si>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</si>
  <si>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</si>
  <si>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</si>
  <si>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</si>
  <si>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</si>
  <si>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</si>
  <si>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</si>
  <si>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</si>
  <si>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</si>
  <si>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</si>
  <si>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</si>
  <si>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</si>
  <si>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</si>
  <si>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</si>
  <si>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</si>
  <si>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</si>
  <si>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</si>
  <si>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</si>
  <si>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</si>
  <si>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</si>
  <si>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</si>
  <si>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</si>
  <si>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</si>
  <si>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</si>
  <si>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</si>
  <si>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</si>
  <si>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</si>
  <si>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</si>
  <si>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</si>
  <si>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</si>
  <si>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</si>
  <si>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</si>
  <si>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</si>
  <si>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</si>
  <si>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</si>
  <si>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</si>
  <si>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</si>
  <si>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</si>
  <si>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</si>
  <si>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</si>
  <si>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</si>
  <si>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</si>
  <si>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</si>
  <si>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</si>
  <si>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</si>
  <si>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</si>
  <si>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</si>
  <si>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</si>
  <si>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</si>
  <si>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</si>
  <si>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</si>
  <si>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</si>
  <si>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</si>
  <si>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</si>
  <si>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</si>
  <si>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</si>
  <si>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</si>
  <si>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</si>
  <si>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</si>
  <si>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</si>
  <si>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</si>
  <si>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</si>
  <si>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</si>
  <si>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</si>
  <si>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</si>
  <si>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</si>
  <si>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</si>
  <si>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</si>
  <si>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</si>
  <si>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</si>
  <si>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</si>
  <si>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</si>
  <si>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</si>
  <si>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</si>
  <si>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</si>
  <si>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</si>
  <si>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</si>
  <si>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</si>
  <si>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</si>
  <si>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</si>
  <si>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</si>
  <si>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</si>
  <si>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</si>
  <si>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</si>
  <si>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</si>
  <si>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</si>
  <si>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</si>
  <si>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</si>
  <si>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</si>
  <si>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</si>
  <si>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</si>
  <si>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</si>
  <si>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</si>
  <si>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</si>
  <si>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</si>
  <si>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</si>
  <si>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</si>
  <si>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</si>
  <si>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</si>
  <si>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</si>
  <si>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</si>
  <si>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</si>
  <si>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</si>
  <si>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</si>
  <si>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</si>
  <si>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</si>
  <si>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</si>
  <si>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</si>
  <si>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</si>
  <si>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</si>
  <si>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</si>
  <si>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</si>
  <si>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</si>
  <si>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</si>
  <si>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</si>
  <si>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</si>
  <si>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</si>
  <si>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</si>
  <si>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</si>
  <si>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</si>
  <si>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</si>
  <si>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</si>
  <si>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</si>
  <si>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</si>
  <si>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</si>
  <si>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</si>
  <si>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</si>
  <si>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</si>
  <si>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</si>
  <si>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</si>
  <si>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</si>
  <si>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</si>
  <si>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</si>
  <si>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</si>
  <si>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</si>
  <si>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</si>
  <si>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</si>
  <si>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</si>
  <si>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</si>
  <si>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</si>
  <si>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</si>
  <si>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</si>
  <si>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</si>
  <si>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</si>
  <si>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</si>
  <si>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</si>
  <si>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</si>
  <si>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</si>
  <si>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</si>
  <si>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</si>
  <si>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</si>
  <si>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</si>
  <si>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</si>
  <si>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</si>
  <si>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</si>
  <si>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</si>
  <si>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</si>
  <si>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</si>
  <si>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</si>
  <si>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</si>
  <si>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</si>
  <si>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</si>
  <si>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</si>
  <si>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</si>
  <si>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</si>
  <si>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</si>
  <si>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</si>
  <si>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</si>
  <si>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</si>
  <si>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</si>
  <si>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</si>
  <si>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</si>
  <si>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</si>
  <si>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</si>
  <si>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</si>
  <si>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</si>
  <si>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</si>
  <si>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</si>
  <si>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</si>
  <si>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</si>
  <si>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</si>
  <si>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</si>
  <si>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</si>
  <si>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</si>
  <si>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</si>
  <si>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</si>
  <si>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</si>
  <si>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</si>
  <si>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</si>
  <si>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</si>
  <si>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</si>
  <si>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</si>
  <si>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</si>
  <si>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</si>
  <si>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</si>
  <si>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</si>
  <si>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</si>
  <si>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</si>
  <si>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</si>
  <si>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</si>
  <si>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</si>
  <si>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</si>
  <si>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</si>
  <si>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</si>
  <si>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</si>
  <si>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</si>
  <si>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</si>
  <si>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</si>
  <si>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</si>
  <si>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</si>
  <si>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</si>
  <si>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</si>
  <si>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</si>
  <si>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</si>
  <si>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</si>
  <si>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</si>
  <si>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</si>
  <si>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</si>
  <si>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</si>
  <si>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</si>
  <si>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</si>
  <si>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</si>
  <si>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</si>
  <si>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</si>
  <si>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</si>
  <si>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</si>
  <si>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</si>
  <si>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</si>
  <si>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</si>
  <si>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</si>
  <si>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</si>
  <si>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</si>
  <si>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</si>
  <si>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</si>
  <si>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</si>
  <si>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</si>
  <si>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</si>
  <si>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</si>
  <si>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</si>
  <si>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</si>
  <si>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</si>
  <si>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</si>
  <si>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</si>
  <si>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</si>
  <si>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</si>
  <si>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</si>
  <si>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</si>
  <si>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</si>
  <si>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</si>
  <si>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</si>
  <si>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</si>
  <si>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</si>
  <si>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</si>
  <si>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</si>
  <si>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</si>
  <si>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</si>
  <si>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</si>
  <si>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</si>
  <si>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</si>
  <si>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</si>
  <si>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</si>
  <si>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</si>
  <si>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</si>
  <si>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</si>
  <si>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</si>
  <si>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</si>
  <si>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</si>
  <si>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</si>
  <si>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</si>
  <si>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</si>
  <si>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</si>
  <si>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</si>
  <si>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</si>
  <si>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</si>
  <si>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</si>
  <si>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</si>
  <si>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</si>
  <si>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</si>
  <si>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</si>
  <si>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</si>
  <si>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</si>
  <si>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</si>
  <si>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</si>
  <si>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</si>
  <si>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</si>
  <si>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</si>
  <si>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</si>
  <si>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</si>
  <si>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</si>
  <si>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</si>
  <si>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</si>
  <si>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</si>
  <si>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</si>
  <si>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</si>
  <si>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</si>
  <si>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</si>
  <si>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</si>
  <si>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</si>
  <si>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</si>
  <si>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</si>
  <si>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</si>
  <si>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</si>
  <si>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</si>
  <si>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</si>
  <si>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</si>
  <si>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</si>
  <si>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</si>
  <si>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</si>
  <si>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</si>
  <si>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</si>
  <si>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</si>
  <si>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</si>
  <si>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</si>
  <si>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</si>
  <si>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</si>
  <si>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</si>
  <si>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</si>
  <si>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</si>
  <si>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</si>
  <si>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</si>
  <si>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</si>
  <si>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</si>
  <si>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</si>
  <si>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</si>
  <si>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</si>
  <si>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</si>
  <si>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</si>
  <si>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</si>
  <si>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</si>
  <si>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</si>
  <si>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</si>
  <si>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</si>
  <si>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</si>
  <si>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</si>
  <si>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</si>
  <si>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</si>
  <si>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</si>
  <si>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</si>
  <si>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</si>
  <si>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</si>
  <si>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</si>
  <si>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</si>
  <si>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</si>
  <si>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</si>
  <si>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</si>
  <si>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</si>
  <si>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</si>
  <si>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</si>
  <si>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</si>
  <si>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</si>
  <si>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</si>
  <si>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</si>
  <si>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</si>
  <si>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</si>
  <si>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</si>
  <si>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</si>
  <si>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</si>
  <si>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</si>
  <si>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</si>
  <si>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</si>
  <si>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</si>
  <si>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</si>
  <si>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</si>
  <si>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</si>
  <si>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</si>
  <si>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</si>
  <si>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</si>
  <si>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</si>
  <si>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</si>
  <si>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</si>
  <si>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</si>
  <si>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</si>
  <si>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</si>
  <si>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</si>
  <si>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</si>
  <si>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</si>
  <si>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</si>
  <si>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</si>
  <si>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</si>
  <si>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</si>
  <si>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</si>
  <si>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</si>
  <si>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</si>
  <si>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</si>
  <si>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</si>
  <si>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</si>
  <si>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</si>
  <si>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</si>
  <si>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</si>
  <si>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</si>
  <si>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</si>
  <si>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</si>
  <si>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</si>
  <si>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</si>
  <si>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</si>
  <si>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</si>
  <si>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</si>
  <si>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</si>
  <si>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</si>
  <si>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</si>
  <si>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</si>
  <si>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</si>
  <si>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</si>
  <si>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</si>
  <si>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</si>
  <si>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</si>
  <si>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</si>
  <si>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</si>
  <si>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</si>
  <si>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</si>
  <si>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</si>
  <si>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</si>
  <si>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</si>
  <si>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</si>
  <si>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</si>
  <si>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</si>
  <si>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</si>
  <si>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</si>
  <si>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</si>
  <si>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</si>
  <si>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</si>
  <si>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</si>
  <si>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</si>
  <si>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</si>
  <si>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</si>
  <si>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</si>
  <si>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</si>
  <si>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</si>
  <si>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</si>
  <si>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</si>
  <si>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</si>
  <si>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</si>
  <si>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</si>
  <si>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</si>
  <si>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</si>
  <si>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</si>
  <si>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</si>
  <si>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</si>
  <si>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</si>
  <si>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</si>
  <si>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</si>
  <si>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</si>
  <si>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</si>
  <si>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</si>
  <si>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</si>
  <si>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</si>
  <si>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</si>
  <si>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</si>
  <si>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</si>
  <si>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</si>
  <si>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</si>
  <si>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</si>
  <si>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</si>
  <si>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</si>
  <si>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</si>
  <si>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</si>
  <si>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</si>
  <si>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</si>
  <si>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</si>
  <si>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</si>
  <si>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</si>
  <si>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</si>
  <si>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</si>
  <si>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</si>
  <si>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</si>
  <si>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</si>
  <si>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</si>
  <si>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</si>
  <si>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</si>
  <si>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</si>
  <si>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</si>
  <si>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</si>
  <si>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</si>
  <si>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</si>
  <si>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</si>
  <si>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</si>
  <si>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</si>
  <si>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</si>
  <si>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</si>
  <si>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</si>
  <si>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</si>
  <si>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</si>
  <si>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</si>
  <si>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</si>
  <si>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</si>
  <si>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</si>
  <si>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</si>
  <si>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</si>
  <si>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</si>
  <si>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</si>
  <si>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</si>
  <si>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</si>
  <si>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</si>
  <si>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</si>
  <si>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</si>
  <si>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</si>
  <si>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</si>
  <si>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</si>
  <si>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</si>
  <si>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</si>
  <si>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</si>
  <si>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</si>
  <si>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</si>
  <si>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</si>
  <si>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</si>
  <si>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</si>
  <si>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</si>
  <si>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</si>
  <si>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</si>
  <si>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</si>
  <si>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</si>
  <si>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</si>
  <si>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</si>
  <si>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</si>
  <si>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</si>
  <si>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</si>
  <si>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</si>
  <si>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</si>
  <si>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</si>
  <si>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</si>
  <si>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</si>
  <si>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</si>
  <si>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</si>
  <si>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</si>
  <si>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</si>
  <si>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</si>
  <si>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</si>
  <si>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</si>
  <si>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</si>
  <si>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</si>
  <si>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</si>
  <si>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</si>
  <si>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</si>
  <si>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</si>
  <si>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</si>
  <si>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</si>
  <si>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</si>
  <si>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</si>
  <si>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</si>
  <si>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</si>
  <si>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</si>
  <si>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</si>
  <si>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</si>
  <si>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</si>
  <si>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</si>
  <si>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</si>
  <si>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</si>
  <si>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</si>
  <si>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</si>
  <si>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</si>
  <si>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</si>
  <si>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</si>
  <si>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</si>
  <si>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</si>
  <si>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</si>
  <si>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</si>
  <si>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</si>
  <si>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</si>
  <si>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</si>
  <si>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</si>
  <si>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</si>
  <si>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</si>
  <si>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</si>
  <si>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</si>
  <si>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</si>
  <si>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</si>
  <si>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</si>
  <si>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</si>
  <si>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</si>
  <si>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</si>
  <si>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</si>
  <si>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</si>
  <si>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</si>
  <si>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</si>
  <si>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</si>
  <si>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</si>
  <si>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</si>
  <si>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</si>
  <si>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</si>
  <si>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</si>
  <si>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</si>
  <si>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</si>
  <si>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</si>
  <si>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</si>
  <si>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</si>
  <si>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</si>
  <si>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</si>
  <si>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</si>
  <si>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</si>
  <si>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</si>
  <si>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</si>
  <si>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</si>
  <si>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</si>
  <si>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</si>
  <si>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</si>
  <si>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</si>
  <si>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</si>
  <si>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</si>
  <si>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</si>
  <si>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</si>
  <si>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</si>
  <si>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</si>
  <si>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</si>
  <si>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</si>
  <si>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</si>
  <si>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</si>
  <si>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</si>
  <si>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</si>
  <si>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</si>
  <si>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</si>
  <si>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</si>
  <si>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</si>
  <si>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</si>
  <si>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</si>
  <si>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</si>
  <si>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</si>
  <si>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</si>
  <si>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</si>
  <si>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</si>
  <si>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</si>
  <si>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</si>
  <si>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</si>
  <si>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</si>
  <si>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</si>
  <si>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</si>
  <si>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</si>
  <si>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</si>
  <si>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</si>
  <si>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</si>
  <si>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</si>
  <si>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</si>
  <si>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</si>
  <si>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</si>
  <si>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</si>
  <si>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</si>
  <si>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</si>
  <si>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</si>
  <si>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</si>
  <si>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</si>
  <si>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</si>
  <si>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</si>
  <si>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</si>
  <si>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</si>
  <si>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</si>
  <si>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</si>
  <si>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</si>
  <si>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</si>
  <si>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</si>
  <si>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</si>
  <si>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</si>
  <si>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</si>
  <si>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</si>
  <si>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</si>
  <si>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</si>
  <si>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</si>
  <si>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255,000,000</t>
  </si>
  <si>
    <t>000,000,255</t>
  </si>
  <si>
    <t>255,255,000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</si>
  <si>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</si>
  <si>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</si>
  <si>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</si>
  <si>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</si>
  <si>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</si>
  <si>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</si>
  <si>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</si>
  <si>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</si>
  <si>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</si>
  <si>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</si>
  <si>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</si>
  <si>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</si>
  <si>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</si>
  <si>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</si>
  <si>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</si>
  <si>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</si>
  <si>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</si>
  <si>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</si>
  <si>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</si>
  <si>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</si>
  <si>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</si>
  <si>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</si>
  <si>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</si>
  <si>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</si>
  <si>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</si>
  <si>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</si>
  <si>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</si>
  <si>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</si>
  <si>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</si>
  <si>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</si>
  <si>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</si>
  <si>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</si>
  <si>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</si>
  <si>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</si>
  <si>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</si>
  <si>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</si>
  <si>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</si>
  <si>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</si>
  <si>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</si>
  <si>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</si>
  <si>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</si>
  <si>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</si>
  <si>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</si>
  <si>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</si>
  <si>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</si>
  <si>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</si>
  <si>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</si>
  <si>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</si>
  <si>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blank</t>
  </si>
  <si>
    <t>notes</t>
  </si>
  <si>
    <t>excerptopener</t>
  </si>
  <si>
    <t>excerptchapter</t>
  </si>
  <si>
    <t>abouttheauthor</t>
  </si>
  <si>
    <t>bobad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</si>
  <si>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</si>
  <si>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</si>
  <si>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</si>
  <si>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</si>
  <si>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</si>
  <si>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</si>
  <si>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</si>
  <si>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</si>
  <si>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</si>
  <si>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</si>
  <si>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</si>
  <si>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</si>
  <si>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</si>
  <si>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</si>
  <si>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</si>
  <si>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</si>
  <si>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html.toplevelheads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</si>
  <si>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</si>
  <si>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</si>
  <si>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</si>
  <si>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</si>
  <si>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</si>
  <si>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</si>
  <si>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</si>
  <si>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</si>
  <si>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</si>
  <si>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</si>
  <si>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</si>
  <si>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</si>
  <si>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</si>
  <si>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</si>
  <si>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</si>
  <si>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</si>
  <si>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</si>
  <si>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</si>
  <si>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</si>
  <si>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</si>
  <si>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no_export.sectionclass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</si>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</sst>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4" borderId="1" xfId="0" applyFont="1" applyFill="1" applyBorder="1" applyProtection="1"/>
    <xf numFmtId="49" fontId="17" fillId="4" borderId="1" xfId="0" applyNumberFormat="1" applyFont="1" applyFill="1" applyBorder="1" applyProtection="1"/>
    <xf numFmtId="0" fontId="17" fillId="0" borderId="0" xfId="0" applyFont="1" applyFill="1" applyProtection="1">
      <protection locked="0"/>
    </xf>
    <xf numFmtId="0" fontId="17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6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49" fontId="0" fillId="0" borderId="0" xfId="0" applyNumberFormat="1" applyFill="1" applyProtection="1"/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21" Type="http://schemas.openxmlformats.org/officeDocument/2006/relationships/hyperlink" Target="https://confluence.macmillan.com/display/PBL/Word+Template+Styles+List" TargetMode="External"/><Relationship Id="rId10" Type="http://schemas.openxmlformats.org/officeDocument/2006/relationships/hyperlink" Target="https://msdn.microsoft.com/en-us/library/office/ff836368.aspx" TargetMode="External"/><Relationship Id="rId11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3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15" Type="http://schemas.openxmlformats.org/officeDocument/2006/relationships/hyperlink" Target="http://www.rapidtables.com/web/color/RGB_Color.htm" TargetMode="External"/><Relationship Id="rId16" Type="http://schemas.openxmlformats.org/officeDocument/2006/relationships/hyperlink" Target="http://www.rapidtables.com/web/color/RGB_Color.htm" TargetMode="External"/><Relationship Id="rId17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19" Type="http://schemas.openxmlformats.org/officeDocument/2006/relationships/hyperlink" Target="http://www.rapidtables.com/web/color/RGB_Color.htm" TargetMode="External"/><Relationship Id="rId1" Type="http://schemas.openxmlformats.org/officeDocument/2006/relationships/hyperlink" Target="https://msdn.microsoft.com/en-us/library/office/ff844910.aspx" TargetMode="External"/><Relationship Id="rId2" Type="http://schemas.openxmlformats.org/officeDocument/2006/relationships/hyperlink" Target="https://msdn.microsoft.com/en-us/library/office/ff835817.aspx" TargetMode="External"/><Relationship Id="rId3" Type="http://schemas.openxmlformats.org/officeDocument/2006/relationships/hyperlink" Target="https://msdn.microsoft.com/en-us/library/office/ff193702.aspx" TargetMode="External"/><Relationship Id="rId4" Type="http://schemas.openxmlformats.org/officeDocument/2006/relationships/hyperlink" Target="https://msdn.microsoft.com/en-us/library/office/ff193702.aspx" TargetMode="External"/><Relationship Id="rId5" Type="http://schemas.openxmlformats.org/officeDocument/2006/relationships/hyperlink" Target="https://msdn.microsoft.com/en-us/library/office/ff193702.aspx" TargetMode="External"/><Relationship Id="rId6" Type="http://schemas.openxmlformats.org/officeDocument/2006/relationships/hyperlink" Target="https://msdn.microsoft.com/en-us/library/office/ff193702.aspx" TargetMode="External"/><Relationship Id="rId7" Type="http://schemas.openxmlformats.org/officeDocument/2006/relationships/hyperlink" Target="https://msdn.microsoft.com/en-us/library/office/ff836368.aspx" TargetMode="External"/><Relationship Id="rId8" Type="http://schemas.openxmlformats.org/officeDocument/2006/relationships/hyperlink" Target="https://msdn.microsoft.com/en-us/library/office/ff193702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M548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5" sqref="C5"/>
    </sheetView>
  </sheetViews>
  <sheetFormatPr baseColWidth="10" defaultColWidth="10.83203125" defaultRowHeight="15" x14ac:dyDescent="0"/>
  <cols>
    <col min="1" max="1" width="42.33203125" style="80" bestFit="1" customWidth="1"/>
    <col min="2" max="2" width="28.83203125" style="8" customWidth="1"/>
    <col min="3" max="3" width="32.5" style="8" customWidth="1"/>
    <col min="4" max="4" width="13" style="8" bestFit="1" customWidth="1"/>
    <col min="5" max="5" width="32.5" style="8" customWidth="1"/>
    <col min="6" max="6" width="16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5" style="8" bestFit="1" customWidth="1"/>
    <col min="11" max="11" width="12.1640625" style="8" bestFit="1" customWidth="1"/>
    <col min="12" max="12" width="12" style="8" bestFit="1" customWidth="1"/>
    <col min="13" max="13" width="17.6640625" style="60" bestFit="1" customWidth="1"/>
    <col min="14" max="14" width="16.5" style="8" bestFit="1" customWidth="1"/>
    <col min="15" max="15" width="16.6640625" style="8" bestFit="1" customWidth="1"/>
    <col min="16" max="16" width="17.6640625" style="8" bestFit="1" customWidth="1"/>
    <col min="17" max="17" width="15.83203125" style="8" bestFit="1" customWidth="1"/>
    <col min="18" max="18" width="20" style="8" bestFit="1" customWidth="1"/>
    <col min="19" max="19" width="23.33203125" style="8" bestFit="1" customWidth="1"/>
    <col min="20" max="20" width="21.1640625" style="8" bestFit="1" customWidth="1"/>
    <col min="21" max="21" width="23.5" style="8" bestFit="1" customWidth="1"/>
    <col min="22" max="22" width="19.6640625" style="8" bestFit="1" customWidth="1"/>
    <col min="23" max="23" width="22.1640625" style="74" bestFit="1" customWidth="1"/>
    <col min="24" max="24" width="38.5" style="8" bestFit="1" customWidth="1"/>
    <col min="25" max="25" width="8.83203125" style="8" bestFit="1" customWidth="1"/>
    <col min="26" max="26" width="11.33203125" style="8" bestFit="1" customWidth="1"/>
    <col min="27" max="27" width="27.6640625" style="8" bestFit="1" customWidth="1"/>
    <col min="28" max="28" width="28.83203125" style="8" bestFit="1" customWidth="1"/>
    <col min="29" max="29" width="29.33203125" style="8" bestFit="1" customWidth="1"/>
    <col min="30" max="30" width="28.1640625" style="8" bestFit="1" customWidth="1"/>
    <col min="31" max="31" width="32.5" style="8" bestFit="1" customWidth="1"/>
    <col min="32" max="32" width="28.83203125" style="8" bestFit="1" customWidth="1"/>
    <col min="33" max="33" width="27.6640625" style="8" bestFit="1" customWidth="1"/>
    <col min="34" max="34" width="31.5" style="8" bestFit="1" customWidth="1"/>
    <col min="35" max="35" width="29.5" style="8" bestFit="1" customWidth="1"/>
    <col min="36" max="36" width="33.33203125" style="8" bestFit="1" customWidth="1"/>
    <col min="37" max="37" width="31.1640625" style="8" bestFit="1" customWidth="1"/>
    <col min="38" max="38" width="15.5" style="8" customWidth="1"/>
    <col min="39" max="39" width="18.1640625" style="60" bestFit="1" customWidth="1"/>
    <col min="40" max="40" width="21.33203125" style="8" bestFit="1" customWidth="1"/>
    <col min="41" max="41" width="22.33203125" style="8" bestFit="1" customWidth="1"/>
    <col min="42" max="42" width="13.33203125" style="8" bestFit="1" customWidth="1"/>
    <col min="43" max="43" width="20" style="60" customWidth="1"/>
    <col min="44" max="44" width="21.33203125" style="8" bestFit="1" customWidth="1"/>
    <col min="45" max="45" width="22.33203125" style="8" bestFit="1" customWidth="1"/>
    <col min="46" max="46" width="13.33203125" style="8" bestFit="1" customWidth="1"/>
    <col min="47" max="47" width="18.1640625" style="60" bestFit="1" customWidth="1"/>
    <col min="48" max="48" width="21.33203125" style="8" bestFit="1" customWidth="1"/>
    <col min="49" max="49" width="22.33203125" style="8" bestFit="1" customWidth="1"/>
    <col min="50" max="50" width="13.33203125" style="8" bestFit="1" customWidth="1"/>
    <col min="51" max="51" width="18.1640625" style="60" bestFit="1" customWidth="1"/>
    <col min="52" max="52" width="21.33203125" style="8" bestFit="1" customWidth="1"/>
    <col min="53" max="53" width="22.33203125" style="8" bestFit="1" customWidth="1"/>
    <col min="54" max="54" width="25.6640625" style="8" bestFit="1" customWidth="1"/>
    <col min="55" max="55" width="26.83203125" style="8" bestFit="1" customWidth="1"/>
    <col min="56" max="56" width="25.5" style="8" bestFit="1" customWidth="1"/>
    <col min="57" max="57" width="28.6640625" style="8" bestFit="1" customWidth="1"/>
    <col min="58" max="58" width="36.83203125" style="60" customWidth="1"/>
    <col min="59" max="59" width="27.1640625" style="60" bestFit="1" customWidth="1"/>
    <col min="60" max="60" width="25" style="8" bestFit="1" customWidth="1"/>
    <col min="61" max="61" width="26" style="8" bestFit="1" customWidth="1"/>
    <col min="62" max="62" width="35.83203125" style="60" bestFit="1" customWidth="1"/>
    <col min="63" max="63" width="18" style="8" customWidth="1"/>
    <col min="64" max="64" width="17.5" style="8" customWidth="1"/>
    <col min="65" max="65" width="13.33203125" style="8" bestFit="1" customWidth="1"/>
    <col min="66" max="67" width="10.83203125" style="8"/>
    <col min="68" max="68" width="15.33203125" style="8" customWidth="1"/>
    <col min="69" max="69" width="14.33203125" style="8" customWidth="1"/>
    <col min="70" max="71" width="10.83203125" style="8"/>
    <col min="72" max="72" width="12.1640625" style="8" customWidth="1"/>
    <col min="73" max="73" width="11.5" style="8" customWidth="1"/>
    <col min="74" max="74" width="13.1640625" style="8" customWidth="1"/>
    <col min="75" max="76" width="10.83203125" style="8"/>
    <col min="77" max="77" width="12" style="8" customWidth="1"/>
    <col min="78" max="78" width="14.83203125" style="8" customWidth="1"/>
    <col min="79" max="79" width="12.1640625" style="8" customWidth="1"/>
    <col min="80" max="80" width="12" style="8" customWidth="1"/>
    <col min="81" max="82" width="17" style="8" customWidth="1"/>
    <col min="83" max="83" width="14.6640625" style="8" customWidth="1"/>
    <col min="84" max="84" width="19.6640625" style="8" customWidth="1"/>
    <col min="85" max="85" width="17.5" style="8" customWidth="1"/>
    <col min="86" max="86" width="10.83203125" style="8"/>
    <col min="87" max="87" width="16.6640625" style="8" customWidth="1"/>
    <col min="88" max="89" width="20.33203125" style="8" customWidth="1"/>
    <col min="90" max="90" width="34.1640625" style="8" customWidth="1"/>
    <col min="91" max="91" width="21.1640625" style="8" customWidth="1"/>
    <col min="92" max="16384" width="10.83203125" style="8"/>
  </cols>
  <sheetData>
    <row r="1" spans="1:91" s="3" customFormat="1" ht="27" customHeight="1">
      <c r="A1" s="61" t="s">
        <v>346</v>
      </c>
      <c r="B1" s="85" t="s">
        <v>339</v>
      </c>
      <c r="C1" s="95"/>
      <c r="D1" s="96"/>
      <c r="E1" s="97" t="s">
        <v>340</v>
      </c>
      <c r="F1" s="97"/>
      <c r="G1" s="97"/>
      <c r="H1" s="97"/>
      <c r="I1" s="98" t="s">
        <v>341</v>
      </c>
      <c r="J1" s="99"/>
      <c r="K1" s="99"/>
      <c r="L1" s="99"/>
      <c r="M1" s="99"/>
      <c r="N1" s="99"/>
      <c r="O1" s="99"/>
      <c r="P1" s="99"/>
      <c r="Q1" s="99"/>
      <c r="R1" s="100"/>
      <c r="S1" s="101" t="s">
        <v>342</v>
      </c>
      <c r="T1" s="101"/>
      <c r="U1" s="101"/>
      <c r="V1" s="101"/>
      <c r="W1" s="101"/>
      <c r="X1" s="102" t="s">
        <v>343</v>
      </c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4"/>
      <c r="AL1" s="62" t="s">
        <v>344</v>
      </c>
      <c r="AM1" s="63"/>
      <c r="AN1" s="62"/>
      <c r="AO1" s="62"/>
      <c r="AP1" s="62"/>
      <c r="AQ1" s="63"/>
      <c r="AR1" s="62"/>
      <c r="AS1" s="62"/>
      <c r="AT1" s="62"/>
      <c r="AU1" s="63"/>
      <c r="AV1" s="62"/>
      <c r="AW1" s="62"/>
      <c r="AX1" s="62"/>
      <c r="AY1" s="63"/>
      <c r="AZ1" s="62"/>
      <c r="BA1" s="62"/>
      <c r="BB1" s="62"/>
      <c r="BC1" s="62"/>
      <c r="BD1" s="62"/>
      <c r="BE1" s="62"/>
      <c r="BF1" s="64"/>
      <c r="BG1" s="88" t="s">
        <v>345</v>
      </c>
      <c r="BH1" s="89"/>
      <c r="BI1" s="89"/>
      <c r="BJ1" s="90"/>
      <c r="BK1" s="91" t="s">
        <v>351</v>
      </c>
      <c r="BL1" s="92"/>
      <c r="BM1" s="92"/>
      <c r="BN1" s="85" t="s">
        <v>1546</v>
      </c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7"/>
    </row>
    <row r="2" spans="1:91" s="4" customFormat="1" ht="90">
      <c r="A2" s="77" t="s">
        <v>943</v>
      </c>
      <c r="B2" s="76" t="s">
        <v>946</v>
      </c>
      <c r="C2" s="105" t="s">
        <v>945</v>
      </c>
      <c r="D2" s="106"/>
      <c r="E2" s="66" t="s">
        <v>384</v>
      </c>
      <c r="F2" s="77" t="s">
        <v>948</v>
      </c>
      <c r="G2" s="77" t="s">
        <v>947</v>
      </c>
      <c r="H2" s="66" t="s">
        <v>352</v>
      </c>
      <c r="I2" s="77"/>
      <c r="J2" s="66" t="s">
        <v>353</v>
      </c>
      <c r="K2" s="66" t="s">
        <v>59</v>
      </c>
      <c r="L2" s="66" t="s">
        <v>59</v>
      </c>
      <c r="M2" s="67" t="s">
        <v>385</v>
      </c>
      <c r="N2" s="66" t="s">
        <v>59</v>
      </c>
      <c r="O2" s="66" t="s">
        <v>59</v>
      </c>
      <c r="P2" s="66" t="s">
        <v>59</v>
      </c>
      <c r="Q2" s="66" t="s">
        <v>59</v>
      </c>
      <c r="R2" s="66" t="s">
        <v>59</v>
      </c>
      <c r="S2" s="93" t="s">
        <v>489</v>
      </c>
      <c r="T2" s="93"/>
      <c r="U2" s="93"/>
      <c r="V2" s="93"/>
      <c r="W2" s="94"/>
      <c r="X2" s="66" t="s">
        <v>59</v>
      </c>
      <c r="Y2" s="66" t="s">
        <v>59</v>
      </c>
      <c r="Z2" s="66" t="s">
        <v>59</v>
      </c>
      <c r="AA2" s="66" t="s">
        <v>60</v>
      </c>
      <c r="AB2" s="66" t="s">
        <v>60</v>
      </c>
      <c r="AC2" s="66" t="s">
        <v>60</v>
      </c>
      <c r="AD2" s="66" t="s">
        <v>60</v>
      </c>
      <c r="AE2" s="65" t="s">
        <v>357</v>
      </c>
      <c r="AF2" s="66" t="s">
        <v>60</v>
      </c>
      <c r="AG2" s="65" t="s">
        <v>355</v>
      </c>
      <c r="AH2" s="66" t="s">
        <v>60</v>
      </c>
      <c r="AI2" s="66" t="s">
        <v>356</v>
      </c>
      <c r="AJ2" s="66" t="s">
        <v>59</v>
      </c>
      <c r="AK2" s="66" t="s">
        <v>59</v>
      </c>
      <c r="AL2" s="66" t="s">
        <v>64</v>
      </c>
      <c r="AM2" s="67" t="s">
        <v>385</v>
      </c>
      <c r="AN2" s="65" t="s">
        <v>354</v>
      </c>
      <c r="AO2" s="65" t="s">
        <v>63</v>
      </c>
      <c r="AP2" s="66" t="s">
        <v>59</v>
      </c>
      <c r="AQ2" s="67" t="s">
        <v>385</v>
      </c>
      <c r="AR2" s="66" t="s">
        <v>65</v>
      </c>
      <c r="AS2" s="65" t="s">
        <v>63</v>
      </c>
      <c r="AT2" s="68" t="s">
        <v>66</v>
      </c>
      <c r="AU2" s="67" t="s">
        <v>385</v>
      </c>
      <c r="AV2" s="65" t="s">
        <v>354</v>
      </c>
      <c r="AW2" s="65" t="s">
        <v>63</v>
      </c>
      <c r="AX2" s="68" t="s">
        <v>67</v>
      </c>
      <c r="AY2" s="67" t="s">
        <v>385</v>
      </c>
      <c r="AZ2" s="65" t="s">
        <v>354</v>
      </c>
      <c r="BA2" s="65" t="s">
        <v>63</v>
      </c>
      <c r="BB2" s="66" t="s">
        <v>347</v>
      </c>
      <c r="BC2" s="66" t="s">
        <v>348</v>
      </c>
      <c r="BD2" s="66" t="s">
        <v>349</v>
      </c>
      <c r="BE2" s="66" t="s">
        <v>350</v>
      </c>
      <c r="BF2" s="67" t="s">
        <v>386</v>
      </c>
      <c r="BG2" s="67" t="s">
        <v>385</v>
      </c>
      <c r="BH2" s="65" t="s">
        <v>354</v>
      </c>
      <c r="BI2" s="65" t="s">
        <v>63</v>
      </c>
      <c r="BJ2" s="67" t="s">
        <v>385</v>
      </c>
      <c r="BK2" s="66" t="s">
        <v>58</v>
      </c>
      <c r="BL2" s="66" t="s">
        <v>62</v>
      </c>
      <c r="BM2" s="66" t="s">
        <v>61</v>
      </c>
      <c r="BN2" s="83" t="s">
        <v>1462</v>
      </c>
      <c r="BO2" s="83" t="s">
        <v>1463</v>
      </c>
      <c r="BP2" s="83" t="s">
        <v>1464</v>
      </c>
      <c r="BQ2" s="83" t="s">
        <v>1465</v>
      </c>
      <c r="BR2" s="83" t="s">
        <v>1466</v>
      </c>
      <c r="BS2" s="83" t="s">
        <v>1530</v>
      </c>
      <c r="BT2" s="83" t="s">
        <v>1531</v>
      </c>
      <c r="BU2" s="83" t="s">
        <v>1532</v>
      </c>
      <c r="BV2" s="83" t="s">
        <v>1533</v>
      </c>
      <c r="BW2" s="83" t="s">
        <v>1534</v>
      </c>
      <c r="BX2" s="83" t="s">
        <v>1535</v>
      </c>
      <c r="BY2" s="83" t="s">
        <v>1536</v>
      </c>
      <c r="BZ2" s="83" t="s">
        <v>1537</v>
      </c>
      <c r="CA2" s="83" t="s">
        <v>1538</v>
      </c>
      <c r="CB2" s="83" t="s">
        <v>1539</v>
      </c>
      <c r="CC2" s="83" t="s">
        <v>1540</v>
      </c>
      <c r="CD2" s="83" t="s">
        <v>1541</v>
      </c>
      <c r="CE2" s="83" t="s">
        <v>1542</v>
      </c>
      <c r="CF2" s="83" t="s">
        <v>1543</v>
      </c>
      <c r="CG2" s="83" t="s">
        <v>1544</v>
      </c>
      <c r="CH2" s="83" t="s">
        <v>1545</v>
      </c>
      <c r="CI2" s="83" t="s">
        <v>1547</v>
      </c>
      <c r="CJ2" s="83" t="s">
        <v>1485</v>
      </c>
      <c r="CK2" s="83" t="s">
        <v>1502</v>
      </c>
      <c r="CL2" s="83" t="s">
        <v>1467</v>
      </c>
      <c r="CM2" s="83" t="s">
        <v>1468</v>
      </c>
    </row>
    <row r="3" spans="1:91" s="71" customFormat="1" ht="16">
      <c r="A3" s="69" t="s">
        <v>492</v>
      </c>
      <c r="B3" s="69" t="s">
        <v>944</v>
      </c>
      <c r="C3" s="69" t="s">
        <v>491</v>
      </c>
      <c r="D3" s="69" t="s">
        <v>490</v>
      </c>
      <c r="E3" s="69" t="s">
        <v>9</v>
      </c>
      <c r="F3" s="69" t="s">
        <v>7</v>
      </c>
      <c r="G3" s="69" t="s">
        <v>10</v>
      </c>
      <c r="H3" s="69" t="s">
        <v>11</v>
      </c>
      <c r="I3" s="69" t="s">
        <v>12</v>
      </c>
      <c r="J3" s="69" t="s">
        <v>13</v>
      </c>
      <c r="K3" s="69" t="s">
        <v>14</v>
      </c>
      <c r="L3" s="69" t="s">
        <v>15</v>
      </c>
      <c r="M3" s="70" t="s">
        <v>16</v>
      </c>
      <c r="N3" s="69" t="s">
        <v>17</v>
      </c>
      <c r="O3" s="69" t="s">
        <v>18</v>
      </c>
      <c r="P3" s="69" t="s">
        <v>19</v>
      </c>
      <c r="Q3" s="69" t="s">
        <v>20</v>
      </c>
      <c r="R3" s="69" t="s">
        <v>21</v>
      </c>
      <c r="S3" s="69" t="s">
        <v>390</v>
      </c>
      <c r="T3" s="69" t="s">
        <v>387</v>
      </c>
      <c r="U3" s="69" t="s">
        <v>388</v>
      </c>
      <c r="V3" s="69" t="s">
        <v>389</v>
      </c>
      <c r="W3" s="72" t="s">
        <v>22</v>
      </c>
      <c r="X3" s="69" t="s">
        <v>23</v>
      </c>
      <c r="Y3" s="69" t="s">
        <v>24</v>
      </c>
      <c r="Z3" s="69" t="s">
        <v>25</v>
      </c>
      <c r="AA3" s="69" t="s">
        <v>26</v>
      </c>
      <c r="AB3" s="69" t="s">
        <v>27</v>
      </c>
      <c r="AC3" s="69" t="s">
        <v>28</v>
      </c>
      <c r="AD3" s="69" t="s">
        <v>29</v>
      </c>
      <c r="AE3" s="69" t="s">
        <v>30</v>
      </c>
      <c r="AF3" s="69" t="s">
        <v>31</v>
      </c>
      <c r="AG3" s="69" t="s">
        <v>32</v>
      </c>
      <c r="AH3" s="69" t="s">
        <v>33</v>
      </c>
      <c r="AI3" s="69" t="s">
        <v>34</v>
      </c>
      <c r="AJ3" s="69" t="s">
        <v>35</v>
      </c>
      <c r="AK3" s="69" t="s">
        <v>36</v>
      </c>
      <c r="AL3" s="69" t="s">
        <v>37</v>
      </c>
      <c r="AM3" s="70" t="s">
        <v>38</v>
      </c>
      <c r="AN3" s="69" t="s">
        <v>39</v>
      </c>
      <c r="AO3" s="69" t="s">
        <v>40</v>
      </c>
      <c r="AP3" s="69" t="s">
        <v>41</v>
      </c>
      <c r="AQ3" s="70" t="s">
        <v>42</v>
      </c>
      <c r="AR3" s="69" t="s">
        <v>43</v>
      </c>
      <c r="AS3" s="69" t="s">
        <v>44</v>
      </c>
      <c r="AT3" s="69" t="s">
        <v>45</v>
      </c>
      <c r="AU3" s="70" t="s">
        <v>46</v>
      </c>
      <c r="AV3" s="69" t="s">
        <v>47</v>
      </c>
      <c r="AW3" s="69" t="s">
        <v>48</v>
      </c>
      <c r="AX3" s="69" t="s">
        <v>49</v>
      </c>
      <c r="AY3" s="70" t="s">
        <v>50</v>
      </c>
      <c r="AZ3" s="69" t="s">
        <v>51</v>
      </c>
      <c r="BA3" s="69" t="s">
        <v>52</v>
      </c>
      <c r="BB3" s="69" t="s">
        <v>53</v>
      </c>
      <c r="BC3" s="69" t="s">
        <v>54</v>
      </c>
      <c r="BD3" s="69" t="s">
        <v>55</v>
      </c>
      <c r="BE3" s="69" t="s">
        <v>56</v>
      </c>
      <c r="BF3" s="70" t="s">
        <v>57</v>
      </c>
      <c r="BG3" s="70" t="s">
        <v>335</v>
      </c>
      <c r="BH3" s="69" t="s">
        <v>336</v>
      </c>
      <c r="BI3" s="69" t="s">
        <v>337</v>
      </c>
      <c r="BJ3" s="70" t="s">
        <v>338</v>
      </c>
      <c r="BK3" s="70" t="s">
        <v>5</v>
      </c>
      <c r="BL3" s="69" t="s">
        <v>6</v>
      </c>
      <c r="BM3" s="69" t="s">
        <v>8</v>
      </c>
      <c r="BN3" s="69" t="s">
        <v>1552</v>
      </c>
      <c r="BO3" s="69" t="s">
        <v>1553</v>
      </c>
      <c r="BP3" s="69" t="s">
        <v>1554</v>
      </c>
      <c r="BQ3" s="69" t="s">
        <v>1555</v>
      </c>
      <c r="BR3" s="69" t="s">
        <v>1556</v>
      </c>
      <c r="BS3" s="69" t="s">
        <v>1513</v>
      </c>
      <c r="BT3" s="69" t="s">
        <v>1514</v>
      </c>
      <c r="BU3" s="69" t="s">
        <v>1515</v>
      </c>
      <c r="BV3" s="69" t="s">
        <v>1516</v>
      </c>
      <c r="BW3" s="69" t="s">
        <v>1517</v>
      </c>
      <c r="BX3" s="69" t="s">
        <v>1518</v>
      </c>
      <c r="BY3" s="69" t="s">
        <v>1519</v>
      </c>
      <c r="BZ3" s="69" t="s">
        <v>1520</v>
      </c>
      <c r="CA3" s="69" t="s">
        <v>1521</v>
      </c>
      <c r="CB3" s="69" t="s">
        <v>1522</v>
      </c>
      <c r="CC3" s="69" t="s">
        <v>1523</v>
      </c>
      <c r="CD3" s="69" t="s">
        <v>1524</v>
      </c>
      <c r="CE3" s="69" t="s">
        <v>1525</v>
      </c>
      <c r="CF3" s="69" t="s">
        <v>1526</v>
      </c>
      <c r="CG3" s="69" t="s">
        <v>1527</v>
      </c>
      <c r="CH3" s="69" t="s">
        <v>1528</v>
      </c>
      <c r="CI3" s="69" t="s">
        <v>1548</v>
      </c>
      <c r="CJ3" s="69" t="s">
        <v>1529</v>
      </c>
      <c r="CK3" s="69" t="s">
        <v>1550</v>
      </c>
      <c r="CL3" s="69" t="s">
        <v>1549</v>
      </c>
      <c r="CM3" s="69" t="s">
        <v>1551</v>
      </c>
    </row>
    <row r="4" spans="1:91">
      <c r="A4" s="79" t="str">
        <f>IF($D4="","",TRIM($C4)&amp;" "&amp;CHAR(40)&amp;TRIM($D4)&amp;CHAR(41))</f>
        <v>About Author Text (atatx)</v>
      </c>
      <c r="B4" s="5"/>
      <c r="C4" s="5" t="s">
        <v>493</v>
      </c>
      <c r="D4" s="5" t="s">
        <v>953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L4" s="80" t="str">
        <f t="shared" ref="CL4:CL67" si="0">SUBSTITUTE(SUBSTITUTE(SUBSTITUTE(SUBSTITUTE(A4, "(",""),")","")," ",""),"#","")</f>
        <v>AboutAuthorTextatatx</v>
      </c>
    </row>
    <row r="5" spans="1:91">
      <c r="A5" s="79" t="str">
        <f t="shared" ref="A5:A68" si="1">IF($D5="","",TRIM($C5)&amp;" "&amp;CHAR(40)&amp;TRIM($D5)&amp;CHAR(41))</f>
        <v>About Author Text Head (atah)</v>
      </c>
      <c r="B5" s="5"/>
      <c r="C5" s="5" t="s">
        <v>494</v>
      </c>
      <c r="D5" s="5" t="s">
        <v>954</v>
      </c>
      <c r="E5" s="79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9" t="s">
        <v>71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1171</v>
      </c>
      <c r="BT5" s="8" t="b">
        <v>1</v>
      </c>
      <c r="CL5" s="80" t="str">
        <f t="shared" si="0"/>
        <v>AboutAuthorTextHeadatah</v>
      </c>
    </row>
    <row r="6" spans="1:91">
      <c r="A6" s="79" t="str">
        <f t="shared" si="1"/>
        <v>About Author Text No-Indent (atatx1)</v>
      </c>
      <c r="B6" s="5"/>
      <c r="C6" s="5" t="s">
        <v>495</v>
      </c>
      <c r="D6" s="5" t="s">
        <v>955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L6" s="80" t="str">
        <f t="shared" si="0"/>
        <v>AboutAuthorTextNo-Indentatatx1</v>
      </c>
    </row>
    <row r="7" spans="1:91">
      <c r="A7" s="79" t="str">
        <f t="shared" si="1"/>
        <v>Ad Card List of Titles (acl)</v>
      </c>
      <c r="B7" s="5"/>
      <c r="C7" s="5" t="s">
        <v>496</v>
      </c>
      <c r="D7" s="5" t="s">
        <v>956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364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L7" s="84" t="str">
        <f t="shared" si="0"/>
        <v>AdCardListofTitlesacl</v>
      </c>
    </row>
    <row r="8" spans="1:91">
      <c r="A8" s="79" t="str">
        <f t="shared" si="1"/>
        <v>Ad Card Main Head (acmh)</v>
      </c>
      <c r="B8" s="5"/>
      <c r="C8" s="5" t="s">
        <v>497</v>
      </c>
      <c r="D8" s="5" t="s">
        <v>957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364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1171</v>
      </c>
      <c r="BT8" s="8" t="b">
        <v>1</v>
      </c>
      <c r="CL8" s="80" t="str">
        <f t="shared" si="0"/>
        <v>AdCardMainHeadacmh</v>
      </c>
    </row>
    <row r="9" spans="1:91">
      <c r="A9" s="79" t="str">
        <f t="shared" si="1"/>
        <v>Ad Card Subhead (acsh)</v>
      </c>
      <c r="B9" s="5"/>
      <c r="C9" s="5" t="s">
        <v>498</v>
      </c>
      <c r="D9" s="5" t="s">
        <v>958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364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L9" s="80" t="str">
        <f t="shared" si="0"/>
        <v>AdCardSubheadacsh</v>
      </c>
    </row>
    <row r="10" spans="1:91">
      <c r="A10" s="79" t="str">
        <f t="shared" si="1"/>
        <v>Address (add)</v>
      </c>
      <c r="B10" s="5"/>
      <c r="C10" s="5" t="s">
        <v>499</v>
      </c>
      <c r="D10" s="5" t="s">
        <v>959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L10" s="80" t="str">
        <f t="shared" si="0"/>
        <v>Addressadd</v>
      </c>
    </row>
    <row r="11" spans="1:91">
      <c r="A11" s="79" t="str">
        <f t="shared" si="1"/>
        <v>Appendix Footnote (apfn)</v>
      </c>
      <c r="B11" s="5"/>
      <c r="C11" s="5" t="s">
        <v>500</v>
      </c>
      <c r="D11" s="5" t="s">
        <v>960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L11" s="80" t="str">
        <f t="shared" si="0"/>
        <v>AppendixFootnoteapfn</v>
      </c>
    </row>
    <row r="12" spans="1:91">
      <c r="A12" s="79" t="str">
        <f t="shared" si="1"/>
        <v>Appendix Head (aph)</v>
      </c>
      <c r="B12" s="5"/>
      <c r="C12" s="5" t="s">
        <v>501</v>
      </c>
      <c r="D12" s="5" t="s">
        <v>961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1171</v>
      </c>
      <c r="BT12" s="8" t="b">
        <v>1</v>
      </c>
      <c r="CL12" s="80" t="str">
        <f t="shared" si="0"/>
        <v>AppendixHeadaph</v>
      </c>
    </row>
    <row r="13" spans="1:91">
      <c r="A13" s="79" t="str">
        <f t="shared" si="1"/>
        <v>Appendix Level-1 Subhead (aph1)</v>
      </c>
      <c r="B13" s="5"/>
      <c r="C13" s="5" t="s">
        <v>502</v>
      </c>
      <c r="D13" s="5" t="s">
        <v>962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L13" s="80" t="str">
        <f t="shared" si="0"/>
        <v>AppendixLevel-1Subheadaph1</v>
      </c>
    </row>
    <row r="14" spans="1:91">
      <c r="A14" s="79" t="str">
        <f t="shared" si="1"/>
        <v>Appendix Level-2 Subhead (aph2)</v>
      </c>
      <c r="B14" s="5"/>
      <c r="C14" s="5" t="s">
        <v>503</v>
      </c>
      <c r="D14" s="5" t="s">
        <v>963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L14" s="80" t="str">
        <f t="shared" si="0"/>
        <v>AppendixLevel-2Subheadaph2</v>
      </c>
    </row>
    <row r="15" spans="1:91">
      <c r="A15" s="79" t="str">
        <f t="shared" si="1"/>
        <v>Appendix Level-3 Subhead (aph3)</v>
      </c>
      <c r="B15" s="5"/>
      <c r="C15" s="5" t="s">
        <v>504</v>
      </c>
      <c r="D15" s="5" t="s">
        <v>964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L15" s="80" t="str">
        <f t="shared" si="0"/>
        <v>AppendixLevel-3Subheadaph3</v>
      </c>
    </row>
    <row r="16" spans="1:91">
      <c r="A16" s="79" t="str">
        <f t="shared" si="1"/>
        <v>Appendix Level-4 Subhead (aph4)</v>
      </c>
      <c r="B16" s="5"/>
      <c r="C16" s="5" t="s">
        <v>505</v>
      </c>
      <c r="D16" s="5" t="s">
        <v>965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L16" s="80" t="str">
        <f t="shared" si="0"/>
        <v>AppendixLevel-4Subheadaph4</v>
      </c>
    </row>
    <row r="17" spans="1:90">
      <c r="A17" s="79" t="str">
        <f t="shared" si="1"/>
        <v>Appendix Level-5 Subhead (aph5)</v>
      </c>
      <c r="B17" s="5"/>
      <c r="C17" s="5" t="s">
        <v>506</v>
      </c>
      <c r="D17" s="5" t="s">
        <v>966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L17" s="80" t="str">
        <f t="shared" si="0"/>
        <v>AppendixLevel-5Subheadaph5</v>
      </c>
    </row>
    <row r="18" spans="1:90">
      <c r="A18" s="79" t="str">
        <f t="shared" si="1"/>
        <v>Appendix List Bullet (apbl)</v>
      </c>
      <c r="B18" s="5"/>
      <c r="C18" s="5" t="s">
        <v>507</v>
      </c>
      <c r="D18" s="5" t="s">
        <v>967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1469</v>
      </c>
      <c r="BO18" s="8" t="s">
        <v>1206</v>
      </c>
      <c r="CD18" s="8" t="b">
        <v>1</v>
      </c>
      <c r="CL18" s="80" t="str">
        <f t="shared" si="0"/>
        <v>AppendixListBulletapbl</v>
      </c>
    </row>
    <row r="19" spans="1:90">
      <c r="A19" s="79" t="str">
        <f t="shared" si="1"/>
        <v>Appendix List Num (apnl)</v>
      </c>
      <c r="B19" s="5"/>
      <c r="C19" s="5" t="s">
        <v>508</v>
      </c>
      <c r="D19" s="5" t="s">
        <v>968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1469</v>
      </c>
      <c r="BO19" s="8" t="s">
        <v>1470</v>
      </c>
      <c r="CE19" s="8" t="b">
        <v>1</v>
      </c>
      <c r="CL19" s="80" t="str">
        <f t="shared" si="0"/>
        <v>AppendixListNumapnl</v>
      </c>
    </row>
    <row r="20" spans="1:90">
      <c r="A20" s="79" t="str">
        <f t="shared" si="1"/>
        <v>Appendix List Unnum (apul)</v>
      </c>
      <c r="B20" s="5"/>
      <c r="C20" s="5" t="s">
        <v>509</v>
      </c>
      <c r="D20" s="5" t="s">
        <v>969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L20" s="80" t="str">
        <f t="shared" si="0"/>
        <v>AppendixListUnnumapul</v>
      </c>
    </row>
    <row r="21" spans="1:90">
      <c r="A21" s="79" t="str">
        <f t="shared" si="1"/>
        <v>Appendix Source Note (apsn)</v>
      </c>
      <c r="B21" s="5"/>
      <c r="C21" s="5" t="s">
        <v>510</v>
      </c>
      <c r="D21" s="5" t="s">
        <v>970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L21" s="80" t="str">
        <f t="shared" si="0"/>
        <v>AppendixSourceNoteapsn</v>
      </c>
    </row>
    <row r="22" spans="1:90">
      <c r="A22" s="79" t="str">
        <f t="shared" si="1"/>
        <v>Appendix Subhead (apsh)</v>
      </c>
      <c r="B22" s="5"/>
      <c r="C22" s="5" t="s">
        <v>511</v>
      </c>
      <c r="D22" s="5" t="s">
        <v>971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L22" s="80" t="str">
        <f t="shared" si="0"/>
        <v>AppendixSubheadapsh</v>
      </c>
    </row>
    <row r="23" spans="1:90">
      <c r="A23" s="79" t="str">
        <f t="shared" si="1"/>
        <v>Appendix Text (aptx)</v>
      </c>
      <c r="B23" s="5"/>
      <c r="C23" s="5" t="s">
        <v>512</v>
      </c>
      <c r="D23" s="5" t="s">
        <v>972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L23" s="80" t="str">
        <f t="shared" si="0"/>
        <v>AppendixTextaptx</v>
      </c>
    </row>
    <row r="24" spans="1:90">
      <c r="A24" s="79" t="str">
        <f t="shared" si="1"/>
        <v>Appendix Text No-Indent (aptx1)</v>
      </c>
      <c r="B24" s="5"/>
      <c r="C24" s="5" t="s">
        <v>513</v>
      </c>
      <c r="D24" s="5" t="s">
        <v>973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L24" s="80" t="str">
        <f t="shared" si="0"/>
        <v>AppendixTextNo-Indentaptx1</v>
      </c>
    </row>
    <row r="25" spans="1:90">
      <c r="A25" s="79" t="str">
        <f t="shared" si="1"/>
        <v>Biblio Level-1 Subhead (b1)</v>
      </c>
      <c r="B25" s="5"/>
      <c r="C25" s="5" t="s">
        <v>514</v>
      </c>
      <c r="D25" s="5" t="s">
        <v>974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L25" s="80" t="str">
        <f t="shared" si="0"/>
        <v>BiblioLevel-1Subheadb1</v>
      </c>
    </row>
    <row r="26" spans="1:90">
      <c r="A26" s="79" t="str">
        <f t="shared" si="1"/>
        <v>Biblio Level-2 Subhead (b2)</v>
      </c>
      <c r="B26" s="5"/>
      <c r="C26" s="5" t="s">
        <v>515</v>
      </c>
      <c r="D26" s="5" t="s">
        <v>975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L26" s="80" t="str">
        <f t="shared" si="0"/>
        <v>BiblioLevel-2Subheadb2</v>
      </c>
    </row>
    <row r="27" spans="1:90">
      <c r="A27" s="79" t="str">
        <f t="shared" si="1"/>
        <v>Biblio Level-3 Subhead (b3)</v>
      </c>
      <c r="B27" s="5"/>
      <c r="C27" s="5" t="s">
        <v>516</v>
      </c>
      <c r="D27" s="5" t="s">
        <v>976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L27" s="80" t="str">
        <f t="shared" si="0"/>
        <v>BiblioLevel-3Subheadb3</v>
      </c>
    </row>
    <row r="28" spans="1:90">
      <c r="A28" s="79" t="str">
        <f t="shared" si="1"/>
        <v>Biblio Level-4 Subhead (b4)</v>
      </c>
      <c r="B28" s="5"/>
      <c r="C28" s="5" t="s">
        <v>517</v>
      </c>
      <c r="D28" s="5" t="s">
        <v>977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L28" s="80" t="str">
        <f t="shared" si="0"/>
        <v>BiblioLevel-4Subheadb4</v>
      </c>
    </row>
    <row r="29" spans="1:90">
      <c r="A29" s="79" t="str">
        <f t="shared" si="1"/>
        <v>Biblio Level-5 Subhead (b5)</v>
      </c>
      <c r="B29" s="5"/>
      <c r="C29" s="5" t="s">
        <v>518</v>
      </c>
      <c r="D29" s="5" t="s">
        <v>978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L29" s="80" t="str">
        <f t="shared" si="0"/>
        <v>BiblioLevel-5Subheadb5</v>
      </c>
    </row>
    <row r="30" spans="1:90">
      <c r="A30" s="79" t="str">
        <f t="shared" si="1"/>
        <v>Bibliography Text (bibtx)</v>
      </c>
      <c r="B30" s="5"/>
      <c r="C30" s="5" t="s">
        <v>519</v>
      </c>
      <c r="D30" s="5" t="s">
        <v>979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L30" s="80" t="str">
        <f t="shared" si="0"/>
        <v>BibliographyTextbibtx</v>
      </c>
    </row>
    <row r="31" spans="1:90">
      <c r="A31" s="79" t="str">
        <f t="shared" si="1"/>
        <v>BM Head (bmh)</v>
      </c>
      <c r="B31" s="5"/>
      <c r="C31" s="5" t="s">
        <v>520</v>
      </c>
      <c r="D31" s="5" t="s">
        <v>980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1171</v>
      </c>
      <c r="BT31" s="8" t="b">
        <v>1</v>
      </c>
      <c r="CL31" s="80" t="str">
        <f t="shared" si="0"/>
        <v>BMHeadbmh</v>
      </c>
    </row>
    <row r="32" spans="1:90">
      <c r="A32" s="79" t="str">
        <f t="shared" si="1"/>
        <v>BM Head ALT (abmh)</v>
      </c>
      <c r="B32" s="5"/>
      <c r="C32" s="5" t="s">
        <v>521</v>
      </c>
      <c r="D32" s="5" t="s">
        <v>981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1171</v>
      </c>
      <c r="BT32" s="8" t="b">
        <v>1</v>
      </c>
      <c r="CL32" s="80" t="str">
        <f t="shared" si="0"/>
        <v>BMHeadALTabmh</v>
      </c>
    </row>
    <row r="33" spans="1:90">
      <c r="A33" s="79" t="str">
        <f t="shared" si="1"/>
        <v>BM Head Nonprinting (bmhnp)</v>
      </c>
      <c r="B33" s="5"/>
      <c r="C33" s="5" t="s">
        <v>522</v>
      </c>
      <c r="D33" s="5" t="s">
        <v>982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372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1171</v>
      </c>
      <c r="BT33" s="8" t="b">
        <v>1</v>
      </c>
      <c r="CL33" s="80" t="str">
        <f t="shared" si="0"/>
        <v>BMHeadNonprintingbmhnp</v>
      </c>
    </row>
    <row r="34" spans="1:90">
      <c r="A34" s="79" t="str">
        <f t="shared" si="1"/>
        <v>BM Subhead (bmsh)</v>
      </c>
      <c r="B34" s="5"/>
      <c r="C34" s="5" t="s">
        <v>523</v>
      </c>
      <c r="D34" s="5" t="s">
        <v>983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L34" s="80" t="str">
        <f t="shared" si="0"/>
        <v>BMSubheadbmsh</v>
      </c>
    </row>
    <row r="35" spans="1:90">
      <c r="A35" s="79" t="str">
        <f t="shared" si="1"/>
        <v>BM Text (bmtx)</v>
      </c>
      <c r="B35" s="5"/>
      <c r="C35" s="5" t="s">
        <v>524</v>
      </c>
      <c r="D35" s="5" t="s">
        <v>984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L35" s="80" t="str">
        <f t="shared" si="0"/>
        <v>BMTextbmtx</v>
      </c>
    </row>
    <row r="36" spans="1:90">
      <c r="A36" s="79" t="str">
        <f t="shared" si="1"/>
        <v>BM Text ALT (abmtx)</v>
      </c>
      <c r="B36" s="5"/>
      <c r="C36" s="5" t="s">
        <v>525</v>
      </c>
      <c r="D36" s="5" t="s">
        <v>985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L36" s="80" t="str">
        <f t="shared" si="0"/>
        <v>BMTextALTabmtx</v>
      </c>
    </row>
    <row r="37" spans="1:90">
      <c r="A37" s="79" t="str">
        <f t="shared" si="1"/>
        <v>BM Text ALT No-Indent (abmtx1)</v>
      </c>
      <c r="B37" s="5"/>
      <c r="C37" s="5" t="s">
        <v>526</v>
      </c>
      <c r="D37" s="5" t="s">
        <v>986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L37" s="80" t="str">
        <f t="shared" si="0"/>
        <v>BMTextALTNo-Indentabmtx1</v>
      </c>
    </row>
    <row r="38" spans="1:90">
      <c r="A38" s="79" t="str">
        <f t="shared" si="1"/>
        <v>BM Text No-Indent (bmtx1)</v>
      </c>
      <c r="B38" s="5"/>
      <c r="C38" s="5" t="s">
        <v>527</v>
      </c>
      <c r="D38" s="5" t="s">
        <v>987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L38" s="80" t="str">
        <f t="shared" si="0"/>
        <v>BMTextNo-Indentbmtx1</v>
      </c>
    </row>
    <row r="39" spans="1:90">
      <c r="A39" s="79" t="str">
        <f t="shared" si="1"/>
        <v>BM Text No-Indent Space After (bmtx1#)</v>
      </c>
      <c r="B39" s="5"/>
      <c r="C39" s="5" t="s">
        <v>528</v>
      </c>
      <c r="D39" s="5" t="s">
        <v>988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L39" s="80" t="str">
        <f t="shared" si="0"/>
        <v>BMTextNo-IndentSpaceAfterbmtx1</v>
      </c>
    </row>
    <row r="40" spans="1:90">
      <c r="A40" s="79" t="str">
        <f t="shared" si="1"/>
        <v>BM Text No-Indent Space Around (#bmtx1#)</v>
      </c>
      <c r="B40" s="5"/>
      <c r="C40" s="5" t="s">
        <v>529</v>
      </c>
      <c r="D40" s="5" t="s">
        <v>989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L40" s="80" t="str">
        <f t="shared" si="0"/>
        <v>BMTextNo-IndentSpaceAroundbmtx1</v>
      </c>
    </row>
    <row r="41" spans="1:90">
      <c r="A41" s="79" t="str">
        <f t="shared" si="1"/>
        <v>BM Text No-Indent Space Before (#bmtx1)</v>
      </c>
      <c r="B41" s="5"/>
      <c r="C41" s="5" t="s">
        <v>530</v>
      </c>
      <c r="D41" s="5" t="s">
        <v>990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L41" s="80" t="str">
        <f t="shared" si="0"/>
        <v>BMTextNo-IndentSpaceBeforebmtx1</v>
      </c>
    </row>
    <row r="42" spans="1:90">
      <c r="A42" s="79" t="str">
        <f t="shared" si="1"/>
        <v>BM Text Space After (bmtx#)</v>
      </c>
      <c r="B42" s="5"/>
      <c r="C42" s="5" t="s">
        <v>531</v>
      </c>
      <c r="D42" s="5" t="s">
        <v>991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L42" s="80" t="str">
        <f t="shared" si="0"/>
        <v>BMTextSpaceAfterbmtx</v>
      </c>
    </row>
    <row r="43" spans="1:90">
      <c r="A43" s="79" t="str">
        <f t="shared" si="1"/>
        <v>BM Text Space Around (#bmtx#)</v>
      </c>
      <c r="B43" s="5"/>
      <c r="C43" s="5" t="s">
        <v>532</v>
      </c>
      <c r="D43" s="5" t="s">
        <v>992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L43" s="80" t="str">
        <f t="shared" si="0"/>
        <v>BMTextSpaceAroundbmtx</v>
      </c>
    </row>
    <row r="44" spans="1:90">
      <c r="A44" s="79" t="str">
        <f t="shared" si="1"/>
        <v>BM Text Space Before (#bmtx)</v>
      </c>
      <c r="B44" s="5"/>
      <c r="C44" s="5" t="s">
        <v>533</v>
      </c>
      <c r="D44" s="5" t="s">
        <v>993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L44" s="80" t="str">
        <f t="shared" si="0"/>
        <v>BMTextSpaceBeforebmtx</v>
      </c>
    </row>
    <row r="45" spans="1:90">
      <c r="A45" s="79" t="str">
        <f t="shared" si="1"/>
        <v>BM Title (bmt)</v>
      </c>
      <c r="B45" s="5"/>
      <c r="C45" s="5" t="s">
        <v>534</v>
      </c>
      <c r="D45" s="5" t="s">
        <v>994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L45" s="80" t="str">
        <f t="shared" si="0"/>
        <v>BMTitlebmt</v>
      </c>
    </row>
    <row r="46" spans="1:90">
      <c r="A46" s="79" t="str">
        <f t="shared" si="1"/>
        <v>BOB Ad Imprint (bobimp)</v>
      </c>
      <c r="B46" s="5"/>
      <c r="C46" s="5" t="s">
        <v>535</v>
      </c>
      <c r="D46" s="5" t="s">
        <v>995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L46" s="80" t="str">
        <f t="shared" si="0"/>
        <v>BOBAdImprintbobimp</v>
      </c>
    </row>
    <row r="47" spans="1:90">
      <c r="A47" s="79" t="str">
        <f t="shared" si="1"/>
        <v>BOB Ad Level-1 Subhead (bobh1)</v>
      </c>
      <c r="B47" s="5"/>
      <c r="C47" s="5" t="s">
        <v>536</v>
      </c>
      <c r="D47" s="5" t="s">
        <v>996</v>
      </c>
      <c r="E47" s="79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L47" s="80" t="str">
        <f t="shared" si="0"/>
        <v>BOBAdLevel-1Subheadbobh1</v>
      </c>
    </row>
    <row r="48" spans="1:90">
      <c r="A48" s="79" t="str">
        <f t="shared" si="1"/>
        <v>BOB Ad Level-2 Subhead (bobh2)</v>
      </c>
      <c r="B48" s="5"/>
      <c r="C48" s="5" t="s">
        <v>537</v>
      </c>
      <c r="D48" s="5" t="s">
        <v>997</v>
      </c>
      <c r="E48" s="79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L48" s="80" t="str">
        <f t="shared" si="0"/>
        <v>BOBAdLevel-2Subheadbobh2</v>
      </c>
    </row>
    <row r="49" spans="1:90">
      <c r="A49" s="79" t="str">
        <f t="shared" si="1"/>
        <v>BOB Ad Level-3 Subhead (bobh3)</v>
      </c>
      <c r="B49" s="5"/>
      <c r="C49" s="5" t="s">
        <v>538</v>
      </c>
      <c r="D49" s="5" t="s">
        <v>998</v>
      </c>
      <c r="E49" s="79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L49" s="80" t="str">
        <f t="shared" si="0"/>
        <v>BOBAdLevel-3Subheadbobh3</v>
      </c>
    </row>
    <row r="50" spans="1:90">
      <c r="A50" s="79" t="str">
        <f t="shared" si="1"/>
        <v>BOB Ad Level-4 Subhead (bobh4)</v>
      </c>
      <c r="B50" s="5"/>
      <c r="C50" s="5" t="s">
        <v>539</v>
      </c>
      <c r="D50" s="5" t="s">
        <v>999</v>
      </c>
      <c r="E50" s="79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L50" s="80" t="str">
        <f t="shared" si="0"/>
        <v>BOBAdLevel-4Subheadbobh4</v>
      </c>
    </row>
    <row r="51" spans="1:90">
      <c r="A51" s="79" t="str">
        <f t="shared" si="1"/>
        <v>BOB Ad Level-5 Subhead (bobh5)</v>
      </c>
      <c r="B51" s="5"/>
      <c r="C51" s="5" t="s">
        <v>540</v>
      </c>
      <c r="D51" s="5" t="s">
        <v>1000</v>
      </c>
      <c r="E51" s="79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L51" s="80" t="str">
        <f t="shared" si="0"/>
        <v>BOBAdLevel-5Subheadbobh5</v>
      </c>
    </row>
    <row r="52" spans="1:90">
      <c r="A52" s="79" t="str">
        <f t="shared" si="1"/>
        <v>BOB Ad Quote (bobq)</v>
      </c>
      <c r="B52" s="5"/>
      <c r="C52" s="5" t="s">
        <v>541</v>
      </c>
      <c r="D52" s="5" t="s">
        <v>1001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1471</v>
      </c>
      <c r="BU52" s="8" t="b">
        <v>1</v>
      </c>
      <c r="CL52" s="80" t="str">
        <f t="shared" si="0"/>
        <v>BOBAdQuotebobq</v>
      </c>
    </row>
    <row r="53" spans="1:90">
      <c r="A53" s="79" t="str">
        <f t="shared" si="1"/>
        <v>BOB Ad Quote Head (bobqh)</v>
      </c>
      <c r="B53" s="5"/>
      <c r="C53" s="5" t="s">
        <v>542</v>
      </c>
      <c r="D53" s="5" t="s">
        <v>1002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1471</v>
      </c>
      <c r="BU53" s="8" t="b">
        <v>1</v>
      </c>
      <c r="CL53" s="80" t="str">
        <f t="shared" si="0"/>
        <v>BOBAdQuoteHeadbobqh</v>
      </c>
    </row>
    <row r="54" spans="1:90">
      <c r="A54" s="79" t="str">
        <f t="shared" si="1"/>
        <v>BOB Ad Quote No-Indent (bobq1)</v>
      </c>
      <c r="B54" s="5"/>
      <c r="C54" s="5" t="s">
        <v>543</v>
      </c>
      <c r="D54" s="5" t="s">
        <v>1003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1471</v>
      </c>
      <c r="BU54" s="8" t="b">
        <v>1</v>
      </c>
      <c r="CL54" s="80" t="str">
        <f t="shared" si="0"/>
        <v>BOBAdQuoteNo-Indentbobq1</v>
      </c>
    </row>
    <row r="55" spans="1:90">
      <c r="A55" s="79" t="str">
        <f t="shared" si="1"/>
        <v>BOB Ad Quote Source (bobqs)</v>
      </c>
      <c r="B55" s="5"/>
      <c r="C55" s="5" t="s">
        <v>544</v>
      </c>
      <c r="D55" s="5" t="s">
        <v>1004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1471</v>
      </c>
      <c r="BU55" s="8" t="b">
        <v>1</v>
      </c>
      <c r="CL55" s="80" t="str">
        <f t="shared" si="0"/>
        <v>BOBAdQuoteSourcebobqs</v>
      </c>
    </row>
    <row r="56" spans="1:90">
      <c r="A56" s="79" t="str">
        <f t="shared" si="1"/>
        <v>BOB Ad Subtitle (bobst)</v>
      </c>
      <c r="B56" s="5"/>
      <c r="C56" s="5" t="s">
        <v>545</v>
      </c>
      <c r="D56" s="5" t="s">
        <v>1005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L56" s="80" t="str">
        <f t="shared" si="0"/>
        <v>BOBAdSubtitlebobst</v>
      </c>
    </row>
    <row r="57" spans="1:90">
      <c r="A57" s="79" t="str">
        <f t="shared" si="1"/>
        <v>BOB Ad Text (bobtx)</v>
      </c>
      <c r="B57" s="5"/>
      <c r="C57" s="5" t="s">
        <v>546</v>
      </c>
      <c r="D57" s="5" t="s">
        <v>1006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L57" s="80" t="str">
        <f t="shared" si="0"/>
        <v>BOBAdTextbobtx</v>
      </c>
    </row>
    <row r="58" spans="1:90">
      <c r="A58" s="79" t="str">
        <f t="shared" si="1"/>
        <v>BOB Ad Text No-Indent (bobtx1)</v>
      </c>
      <c r="B58" s="5"/>
      <c r="C58" s="5" t="s">
        <v>547</v>
      </c>
      <c r="D58" s="5" t="s">
        <v>1007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L58" s="80" t="str">
        <f t="shared" si="0"/>
        <v>BOBAdTextNo-Indentbobtx1</v>
      </c>
    </row>
    <row r="59" spans="1:90">
      <c r="A59" s="79" t="str">
        <f t="shared" si="1"/>
        <v>BOB Ad Title (bobt)</v>
      </c>
      <c r="B59" s="5"/>
      <c r="C59" s="5" t="s">
        <v>548</v>
      </c>
      <c r="D59" s="5" t="s">
        <v>1008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1171</v>
      </c>
      <c r="BT59" s="8" t="b">
        <v>1</v>
      </c>
      <c r="CL59" s="80" t="str">
        <f t="shared" si="0"/>
        <v>BOBAdTitlebobt</v>
      </c>
    </row>
    <row r="60" spans="1:90">
      <c r="A60" s="79" t="str">
        <f t="shared" si="1"/>
        <v>bookmaker keep together (kt)</v>
      </c>
      <c r="B60" s="5"/>
      <c r="C60" s="5" t="s">
        <v>549</v>
      </c>
      <c r="D60" s="5" t="s">
        <v>1009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381</v>
      </c>
      <c r="BK60" s="5" t="s">
        <v>101</v>
      </c>
      <c r="BL60" s="5">
        <v>0</v>
      </c>
      <c r="BM60" s="5" t="b">
        <v>0</v>
      </c>
      <c r="CL60" s="80" t="str">
        <f t="shared" si="0"/>
        <v>bookmakerkeeptogetherkt</v>
      </c>
    </row>
    <row r="61" spans="1:90">
      <c r="A61" s="79" t="str">
        <f t="shared" si="1"/>
        <v>bookmaker loosen (bkl)</v>
      </c>
      <c r="B61" s="5"/>
      <c r="C61" s="5" t="s">
        <v>550</v>
      </c>
      <c r="D61" s="5" t="s">
        <v>1010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381</v>
      </c>
      <c r="BK61" s="5" t="s">
        <v>101</v>
      </c>
      <c r="BL61" s="5">
        <v>0</v>
      </c>
      <c r="BM61" s="5" t="b">
        <v>0</v>
      </c>
      <c r="CL61" s="80" t="str">
        <f t="shared" si="0"/>
        <v>bookmakerloosenbkl</v>
      </c>
    </row>
    <row r="62" spans="1:90">
      <c r="A62" s="79" t="str">
        <f t="shared" si="1"/>
        <v>Bookmaker Page Break (br)</v>
      </c>
      <c r="B62" s="5"/>
      <c r="C62" s="5" t="s">
        <v>551</v>
      </c>
      <c r="D62" s="5" t="s">
        <v>1011</v>
      </c>
      <c r="E62" s="5" t="s">
        <v>234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5" t="s">
        <v>374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381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L62" s="80" t="str">
        <f t="shared" si="0"/>
        <v>BookmakerPageBreakbr</v>
      </c>
    </row>
    <row r="63" spans="1:90">
      <c r="A63" s="79" t="str">
        <f t="shared" si="1"/>
        <v>Bookmaker Processing Instruction (bpi)</v>
      </c>
      <c r="B63" s="5"/>
      <c r="C63" s="5" t="s">
        <v>552</v>
      </c>
      <c r="D63" s="5" t="s">
        <v>1012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L63" s="80" t="str">
        <f t="shared" si="0"/>
        <v>BookmakerProcessingInstructionbpi</v>
      </c>
    </row>
    <row r="64" spans="1:90">
      <c r="A64" s="79" t="str">
        <f t="shared" si="1"/>
        <v>bookmaker tighten (bkt)</v>
      </c>
      <c r="B64" s="5"/>
      <c r="C64" s="5" t="s">
        <v>553</v>
      </c>
      <c r="D64" s="5" t="s">
        <v>1013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381</v>
      </c>
      <c r="BK64" s="5" t="s">
        <v>101</v>
      </c>
      <c r="BL64" s="5">
        <v>0</v>
      </c>
      <c r="BM64" s="5" t="b">
        <v>0</v>
      </c>
      <c r="CL64" s="80" t="str">
        <f t="shared" si="0"/>
        <v>bookmakertightenbkt</v>
      </c>
    </row>
    <row r="65" spans="1:90">
      <c r="A65" s="79" t="str">
        <f t="shared" si="1"/>
        <v>Box Epigraph - non-verse (bepi)</v>
      </c>
      <c r="B65" s="5"/>
      <c r="C65" s="5" t="s">
        <v>554</v>
      </c>
      <c r="D65" s="5" t="s">
        <v>1014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376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1472</v>
      </c>
      <c r="BQ65" s="8" t="s">
        <v>1473</v>
      </c>
      <c r="BR65" s="8" t="s">
        <v>1474</v>
      </c>
      <c r="BX65" s="8" t="b">
        <v>1</v>
      </c>
      <c r="CL65" s="80" t="str">
        <f t="shared" si="0"/>
        <v>BoxEpigraph-non-versebepi</v>
      </c>
    </row>
    <row r="66" spans="1:90">
      <c r="A66" s="79" t="str">
        <f t="shared" si="1"/>
        <v>Box Epigraph - verse (bepiv)</v>
      </c>
      <c r="B66" s="5"/>
      <c r="C66" s="5" t="s">
        <v>555</v>
      </c>
      <c r="D66" s="5" t="s">
        <v>1015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376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1472</v>
      </c>
      <c r="BQ66" s="8" t="s">
        <v>1473</v>
      </c>
      <c r="BR66" s="8" t="s">
        <v>1474</v>
      </c>
      <c r="BX66" s="8" t="b">
        <v>1</v>
      </c>
      <c r="CL66" s="80" t="str">
        <f t="shared" si="0"/>
        <v>BoxEpigraph-versebepiv</v>
      </c>
    </row>
    <row r="67" spans="1:90">
      <c r="A67" s="79" t="str">
        <f t="shared" si="1"/>
        <v>Box Epigraph Source (beps)</v>
      </c>
      <c r="B67" s="5"/>
      <c r="C67" s="5" t="s">
        <v>556</v>
      </c>
      <c r="D67" s="5" t="s">
        <v>1016</v>
      </c>
      <c r="E67" s="5" t="s">
        <v>234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376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1472</v>
      </c>
      <c r="BQ67" s="8" t="s">
        <v>1473</v>
      </c>
      <c r="BR67" s="8" t="s">
        <v>1474</v>
      </c>
      <c r="BX67" s="8" t="b">
        <v>1</v>
      </c>
      <c r="CL67" s="80" t="str">
        <f t="shared" si="0"/>
        <v>BoxEpigraphSourcebeps</v>
      </c>
    </row>
    <row r="68" spans="1:90">
      <c r="A68" s="79" t="str">
        <f t="shared" si="1"/>
        <v>Box Extract - Verse (bextv)</v>
      </c>
      <c r="B68" s="5"/>
      <c r="C68" s="5" t="s">
        <v>557</v>
      </c>
      <c r="D68" s="5" t="s">
        <v>1017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376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1472</v>
      </c>
      <c r="BQ68" s="8" t="s">
        <v>1473</v>
      </c>
      <c r="BR68" s="8" t="s">
        <v>1474</v>
      </c>
      <c r="BX68" s="8" t="b">
        <v>1</v>
      </c>
      <c r="CL68" s="80" t="str">
        <f t="shared" ref="CL68:CL131" si="2">SUBSTITUTE(SUBSTITUTE(SUBSTITUTE(SUBSTITUTE(A68, "(",""),")","")," ",""),"#","")</f>
        <v>BoxExtract-Versebextv</v>
      </c>
    </row>
    <row r="69" spans="1:90">
      <c r="A69" s="79" t="str">
        <f t="shared" ref="A69:A132" si="3">IF($D69="","",TRIM($C69)&amp;" "&amp;CHAR(40)&amp;TRIM($D69)&amp;CHAR(41))</f>
        <v>Box Extract (bext)</v>
      </c>
      <c r="B69" s="5"/>
      <c r="C69" s="5" t="s">
        <v>558</v>
      </c>
      <c r="D69" s="5" t="s">
        <v>1018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376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1472</v>
      </c>
      <c r="BQ69" s="8" t="s">
        <v>1473</v>
      </c>
      <c r="BR69" s="8" t="s">
        <v>1474</v>
      </c>
      <c r="BX69" s="8" t="b">
        <v>1</v>
      </c>
      <c r="CL69" s="80" t="str">
        <f t="shared" si="2"/>
        <v>BoxExtractbext</v>
      </c>
    </row>
    <row r="70" spans="1:90">
      <c r="A70" s="79" t="str">
        <f t="shared" si="3"/>
        <v>Box Footnote (bfn)</v>
      </c>
      <c r="B70" s="5"/>
      <c r="C70" s="5" t="s">
        <v>559</v>
      </c>
      <c r="D70" s="5" t="s">
        <v>1019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376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1472</v>
      </c>
      <c r="BQ70" s="8" t="s">
        <v>1473</v>
      </c>
      <c r="BR70" s="8" t="s">
        <v>1474</v>
      </c>
      <c r="BX70" s="8" t="b">
        <v>1</v>
      </c>
      <c r="CL70" s="80" t="str">
        <f t="shared" si="2"/>
        <v>BoxFootnotebfn</v>
      </c>
    </row>
    <row r="71" spans="1:90">
      <c r="A71" s="79" t="str">
        <f t="shared" si="3"/>
        <v>Box Head - Level-1 (bh1)</v>
      </c>
      <c r="B71" s="5"/>
      <c r="C71" s="5" t="s">
        <v>560</v>
      </c>
      <c r="D71" s="5" t="s">
        <v>1020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376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1472</v>
      </c>
      <c r="BQ71" s="8" t="s">
        <v>1473</v>
      </c>
      <c r="BR71" s="8" t="s">
        <v>1474</v>
      </c>
      <c r="BX71" s="8" t="b">
        <v>1</v>
      </c>
      <c r="CL71" s="80" t="str">
        <f t="shared" si="2"/>
        <v>BoxHead-Level-1bh1</v>
      </c>
    </row>
    <row r="72" spans="1:90">
      <c r="A72" s="79" t="str">
        <f t="shared" si="3"/>
        <v>Box Head - Level-2 (bh2)</v>
      </c>
      <c r="B72" s="5"/>
      <c r="C72" s="5" t="s">
        <v>561</v>
      </c>
      <c r="D72" s="5" t="s">
        <v>1021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376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1472</v>
      </c>
      <c r="BQ72" s="8" t="s">
        <v>1473</v>
      </c>
      <c r="BR72" s="8" t="s">
        <v>1474</v>
      </c>
      <c r="BX72" s="8" t="b">
        <v>1</v>
      </c>
      <c r="CL72" s="80" t="str">
        <f t="shared" si="2"/>
        <v>BoxHead-Level-2bh2</v>
      </c>
    </row>
    <row r="73" spans="1:90">
      <c r="A73" s="79" t="str">
        <f t="shared" si="3"/>
        <v>Box Head - Level-3 (bh3)</v>
      </c>
      <c r="B73" s="5"/>
      <c r="C73" s="5" t="s">
        <v>562</v>
      </c>
      <c r="D73" s="5" t="s">
        <v>1022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376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1472</v>
      </c>
      <c r="BQ73" s="8" t="s">
        <v>1473</v>
      </c>
      <c r="BR73" s="8" t="s">
        <v>1474</v>
      </c>
      <c r="BX73" s="8" t="b">
        <v>1</v>
      </c>
      <c r="CL73" s="80" t="str">
        <f t="shared" si="2"/>
        <v>BoxHead-Level-3bh3</v>
      </c>
    </row>
    <row r="74" spans="1:90">
      <c r="A74" s="79" t="str">
        <f t="shared" si="3"/>
        <v>Box Head - Level-4 (bh4)</v>
      </c>
      <c r="B74" s="5"/>
      <c r="C74" s="5" t="s">
        <v>563</v>
      </c>
      <c r="D74" s="5" t="s">
        <v>1023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376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1472</v>
      </c>
      <c r="BQ74" s="8" t="s">
        <v>1473</v>
      </c>
      <c r="BR74" s="8" t="s">
        <v>1474</v>
      </c>
      <c r="BX74" s="8" t="b">
        <v>1</v>
      </c>
      <c r="CL74" s="80" t="str">
        <f t="shared" si="2"/>
        <v>BoxHead-Level-4bh4</v>
      </c>
    </row>
    <row r="75" spans="1:90">
      <c r="A75" s="79" t="str">
        <f t="shared" si="3"/>
        <v>Box Head - Level-5 (bh5)</v>
      </c>
      <c r="B75" s="5"/>
      <c r="C75" s="5" t="s">
        <v>564</v>
      </c>
      <c r="D75" s="5" t="s">
        <v>1024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376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1472</v>
      </c>
      <c r="BQ75" s="8" t="s">
        <v>1473</v>
      </c>
      <c r="BR75" s="8" t="s">
        <v>1474</v>
      </c>
      <c r="BX75" s="8" t="b">
        <v>1</v>
      </c>
      <c r="CL75" s="80" t="str">
        <f t="shared" si="2"/>
        <v>BoxHead-Level-5bh5</v>
      </c>
    </row>
    <row r="76" spans="1:90">
      <c r="A76" s="79" t="str">
        <f t="shared" si="3"/>
        <v>Box Head (bh)</v>
      </c>
      <c r="B76" s="5"/>
      <c r="C76" s="5" t="s">
        <v>565</v>
      </c>
      <c r="D76" s="5" t="s">
        <v>1025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376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1472</v>
      </c>
      <c r="BQ76" s="8" t="s">
        <v>1473</v>
      </c>
      <c r="BR76" s="8" t="s">
        <v>1474</v>
      </c>
      <c r="BX76" s="8" t="b">
        <v>1</v>
      </c>
      <c r="CL76" s="80" t="str">
        <f t="shared" si="2"/>
        <v>BoxHeadbh</v>
      </c>
    </row>
    <row r="77" spans="1:90">
      <c r="A77" s="79" t="str">
        <f t="shared" si="3"/>
        <v>Box List Bullet (bbl)</v>
      </c>
      <c r="B77" s="5"/>
      <c r="C77" s="5" t="s">
        <v>566</v>
      </c>
      <c r="D77" s="5" t="s">
        <v>1026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376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1469</v>
      </c>
      <c r="BO77" s="8" t="s">
        <v>1206</v>
      </c>
      <c r="BP77" s="8" t="s">
        <v>1472</v>
      </c>
      <c r="BQ77" s="8" t="s">
        <v>1473</v>
      </c>
      <c r="BR77" s="8" t="s">
        <v>1474</v>
      </c>
      <c r="BX77" s="8" t="b">
        <v>1</v>
      </c>
      <c r="CD77" s="8" t="b">
        <v>1</v>
      </c>
      <c r="CL77" s="80" t="str">
        <f t="shared" si="2"/>
        <v>BoxListBulletbbl</v>
      </c>
    </row>
    <row r="78" spans="1:90">
      <c r="A78" s="79" t="str">
        <f t="shared" si="3"/>
        <v>Box List Num (bnl)</v>
      </c>
      <c r="B78" s="5"/>
      <c r="C78" s="5" t="s">
        <v>567</v>
      </c>
      <c r="D78" s="5" t="s">
        <v>1027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376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1469</v>
      </c>
      <c r="BO78" s="8" t="s">
        <v>1470</v>
      </c>
      <c r="BP78" s="8" t="s">
        <v>1472</v>
      </c>
      <c r="BQ78" s="8" t="s">
        <v>1473</v>
      </c>
      <c r="BR78" s="8" t="s">
        <v>1474</v>
      </c>
      <c r="BX78" s="8" t="b">
        <v>1</v>
      </c>
      <c r="CE78" s="8" t="b">
        <v>1</v>
      </c>
      <c r="CL78" s="80" t="str">
        <f t="shared" si="2"/>
        <v>BoxListNumbnl</v>
      </c>
    </row>
    <row r="79" spans="1:90">
      <c r="A79" s="79" t="str">
        <f t="shared" si="3"/>
        <v>Box List Unnum (bul)</v>
      </c>
      <c r="B79" s="5"/>
      <c r="C79" s="5" t="s">
        <v>568</v>
      </c>
      <c r="D79" s="5" t="s">
        <v>1028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376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1472</v>
      </c>
      <c r="BQ79" s="8" t="s">
        <v>1473</v>
      </c>
      <c r="BR79" s="8" t="s">
        <v>1474</v>
      </c>
      <c r="BX79" s="8" t="b">
        <v>1</v>
      </c>
      <c r="CL79" s="80" t="str">
        <f t="shared" si="2"/>
        <v>BoxListUnnumbul</v>
      </c>
    </row>
    <row r="80" spans="1:90">
      <c r="A80" s="79" t="str">
        <f t="shared" si="3"/>
        <v>Box Source Note (bsn)</v>
      </c>
      <c r="B80" s="5"/>
      <c r="C80" s="5" t="s">
        <v>569</v>
      </c>
      <c r="D80" s="5" t="s">
        <v>1029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376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1472</v>
      </c>
      <c r="BQ80" s="8" t="s">
        <v>1473</v>
      </c>
      <c r="BR80" s="8" t="s">
        <v>1474</v>
      </c>
      <c r="BX80" s="8" t="b">
        <v>1</v>
      </c>
      <c r="CL80" s="80" t="str">
        <f t="shared" si="2"/>
        <v>BoxSourceNotebsn</v>
      </c>
    </row>
    <row r="81" spans="1:90">
      <c r="A81" s="79" t="str">
        <f t="shared" si="3"/>
        <v>Box Subhead (bsh)</v>
      </c>
      <c r="B81" s="5"/>
      <c r="C81" s="5" t="s">
        <v>570</v>
      </c>
      <c r="D81" s="5" t="s">
        <v>1030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376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1472</v>
      </c>
      <c r="BQ81" s="8" t="s">
        <v>1473</v>
      </c>
      <c r="BR81" s="8" t="s">
        <v>1474</v>
      </c>
      <c r="BX81" s="8" t="b">
        <v>1</v>
      </c>
      <c r="CL81" s="80" t="str">
        <f t="shared" si="2"/>
        <v>BoxSubheadbsh</v>
      </c>
    </row>
    <row r="82" spans="1:90">
      <c r="A82" s="79" t="str">
        <f t="shared" si="3"/>
        <v>Box Text (btx)</v>
      </c>
      <c r="B82" s="5"/>
      <c r="C82" s="5" t="s">
        <v>571</v>
      </c>
      <c r="D82" s="5" t="s">
        <v>1031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376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1472</v>
      </c>
      <c r="BQ82" s="8" t="s">
        <v>1473</v>
      </c>
      <c r="BR82" s="8" t="s">
        <v>1474</v>
      </c>
      <c r="BX82" s="8" t="b">
        <v>1</v>
      </c>
      <c r="CL82" s="80" t="str">
        <f t="shared" si="2"/>
        <v>BoxTextbtx</v>
      </c>
    </row>
    <row r="83" spans="1:90">
      <c r="A83" s="79" t="str">
        <f t="shared" si="3"/>
        <v>Box Text No-Indent (btx1)</v>
      </c>
      <c r="B83" s="5"/>
      <c r="C83" s="5" t="s">
        <v>572</v>
      </c>
      <c r="D83" s="5" t="s">
        <v>1032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376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1472</v>
      </c>
      <c r="BQ83" s="8" t="s">
        <v>1473</v>
      </c>
      <c r="BR83" s="8" t="s">
        <v>1474</v>
      </c>
      <c r="BX83" s="8" t="b">
        <v>1</v>
      </c>
      <c r="CL83" s="80" t="str">
        <f t="shared" si="2"/>
        <v>BoxTextNo-Indentbtx1</v>
      </c>
    </row>
    <row r="84" spans="1:90">
      <c r="A84" s="79" t="str">
        <f t="shared" si="3"/>
        <v>Bulleted Paragraphs (bp)</v>
      </c>
      <c r="B84" s="5"/>
      <c r="C84" s="5" t="s">
        <v>573</v>
      </c>
      <c r="D84" s="5" t="s">
        <v>1033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L84" s="80" t="str">
        <f t="shared" si="2"/>
        <v>BulletedParagraphsbp</v>
      </c>
    </row>
    <row r="85" spans="1:90">
      <c r="A85" s="79" t="str">
        <f t="shared" si="3"/>
        <v>Caption (cap)</v>
      </c>
      <c r="B85" s="5"/>
      <c r="C85" s="5" t="s">
        <v>574</v>
      </c>
      <c r="D85" s="5" t="s">
        <v>1034</v>
      </c>
      <c r="E85" s="5" t="s">
        <v>234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1475</v>
      </c>
      <c r="BZ85" s="8" t="b">
        <v>1</v>
      </c>
      <c r="CB85" s="8" t="b">
        <v>1</v>
      </c>
      <c r="CL85" s="80" t="str">
        <f t="shared" si="2"/>
        <v>Captioncap</v>
      </c>
    </row>
    <row r="86" spans="1:90">
      <c r="A86" s="79" t="str">
        <f t="shared" si="3"/>
        <v>Chap Author (ca)</v>
      </c>
      <c r="B86" s="5"/>
      <c r="C86" s="5" t="s">
        <v>575</v>
      </c>
      <c r="D86" s="5" t="s">
        <v>1035</v>
      </c>
      <c r="E86" s="5" t="s">
        <v>201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L86" s="80" t="str">
        <f t="shared" si="2"/>
        <v>ChapAuthorca</v>
      </c>
    </row>
    <row r="87" spans="1:90">
      <c r="A87" s="79" t="str">
        <f t="shared" si="3"/>
        <v>Chap Epigraph - non-verse (cepi)</v>
      </c>
      <c r="B87" s="5"/>
      <c r="C87" s="5" t="s">
        <v>576</v>
      </c>
      <c r="D87" s="5" t="s">
        <v>1036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1471</v>
      </c>
      <c r="BQ87" s="8" t="s">
        <v>1476</v>
      </c>
      <c r="BV87" s="8" t="b">
        <v>1</v>
      </c>
      <c r="CL87" s="80" t="str">
        <f t="shared" si="2"/>
        <v>ChapEpigraph-non-versecepi</v>
      </c>
    </row>
    <row r="88" spans="1:90">
      <c r="A88" s="79" t="str">
        <f t="shared" si="3"/>
        <v>Chap Epigraph - verse (cepiv)</v>
      </c>
      <c r="B88" s="5"/>
      <c r="C88" s="5" t="s">
        <v>577</v>
      </c>
      <c r="D88" s="5" t="s">
        <v>1037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1471</v>
      </c>
      <c r="BQ88" s="8" t="s">
        <v>1476</v>
      </c>
      <c r="BV88" s="8" t="b">
        <v>1</v>
      </c>
      <c r="CL88" s="80" t="str">
        <f t="shared" si="2"/>
        <v>ChapEpigraph-versecepiv</v>
      </c>
    </row>
    <row r="89" spans="1:90">
      <c r="A89" s="79" t="str">
        <f t="shared" si="3"/>
        <v>Chap Epigraph Source (ceps)</v>
      </c>
      <c r="B89" s="5"/>
      <c r="C89" s="5" t="s">
        <v>578</v>
      </c>
      <c r="D89" s="5" t="s">
        <v>1038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1471</v>
      </c>
      <c r="BQ89" s="8" t="s">
        <v>1476</v>
      </c>
      <c r="BV89" s="8" t="b">
        <v>1</v>
      </c>
      <c r="CL89" s="80" t="str">
        <f t="shared" si="2"/>
        <v>ChapEpigraphSourceceps</v>
      </c>
    </row>
    <row r="90" spans="1:90">
      <c r="A90" s="79" t="str">
        <f t="shared" si="3"/>
        <v>Chap Number (cn)</v>
      </c>
      <c r="B90" s="5"/>
      <c r="C90" s="5" t="s">
        <v>579</v>
      </c>
      <c r="D90" s="5" t="s">
        <v>1039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3" t="s">
        <v>478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L90" s="80" t="str">
        <f t="shared" si="2"/>
        <v>ChapNumbercn</v>
      </c>
    </row>
    <row r="91" spans="1:90">
      <c r="A91" s="79" t="str">
        <f t="shared" si="3"/>
        <v>Chap Opening Text (cotx)</v>
      </c>
      <c r="B91" s="5"/>
      <c r="C91" s="5" t="s">
        <v>580</v>
      </c>
      <c r="D91" s="5" t="s">
        <v>1040</v>
      </c>
      <c r="E91" s="5" t="s">
        <v>234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L91" s="80" t="str">
        <f t="shared" si="2"/>
        <v>ChapOpeningTextcotx</v>
      </c>
    </row>
    <row r="92" spans="1:90">
      <c r="A92" s="79" t="str">
        <f t="shared" si="3"/>
        <v>Chap Opening Text No-Indent (cotx1)</v>
      </c>
      <c r="B92" s="5"/>
      <c r="C92" s="5" t="s">
        <v>581</v>
      </c>
      <c r="D92" s="5" t="s">
        <v>1041</v>
      </c>
      <c r="E92" s="5" t="s">
        <v>234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3" t="s">
        <v>404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L92" s="80" t="str">
        <f t="shared" si="2"/>
        <v>ChapOpeningTextNo-Indentcotx1</v>
      </c>
    </row>
    <row r="93" spans="1:90">
      <c r="A93" s="79" t="str">
        <f t="shared" si="3"/>
        <v>Chap Opening Text No-Indent Space After (cotx1#)</v>
      </c>
      <c r="B93" s="5"/>
      <c r="C93" s="5" t="s">
        <v>582</v>
      </c>
      <c r="D93" s="5" t="s">
        <v>1042</v>
      </c>
      <c r="E93" s="5" t="s">
        <v>234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L93" s="80" t="str">
        <f t="shared" si="2"/>
        <v>ChapOpeningTextNo-IndentSpaceAftercotx1</v>
      </c>
    </row>
    <row r="94" spans="1:90">
      <c r="A94" s="79" t="str">
        <f t="shared" si="3"/>
        <v>Chap Opening Text Space After (cotx#)</v>
      </c>
      <c r="B94" s="5"/>
      <c r="C94" s="5" t="s">
        <v>583</v>
      </c>
      <c r="D94" s="5" t="s">
        <v>1043</v>
      </c>
      <c r="E94" s="5" t="s">
        <v>234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4" t="s">
        <v>129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L94" s="80" t="str">
        <f t="shared" si="2"/>
        <v>ChapOpeningTextSpaceAftercotx</v>
      </c>
    </row>
    <row r="95" spans="1:90">
      <c r="A95" s="79" t="str">
        <f t="shared" si="3"/>
        <v>Chap Ornament (corn)</v>
      </c>
      <c r="B95" s="5"/>
      <c r="C95" s="5" t="s">
        <v>584</v>
      </c>
      <c r="D95" s="5" t="s">
        <v>1044</v>
      </c>
      <c r="E95" s="5" t="s">
        <v>201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374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L95" s="80" t="str">
        <f t="shared" si="2"/>
        <v>ChapOrnamentcorn</v>
      </c>
    </row>
    <row r="96" spans="1:90">
      <c r="A96" s="79" t="str">
        <f t="shared" si="3"/>
        <v>Chap Ornament ALT (corn2)</v>
      </c>
      <c r="B96" s="5"/>
      <c r="C96" s="5" t="s">
        <v>585</v>
      </c>
      <c r="D96" s="5" t="s">
        <v>1045</v>
      </c>
      <c r="E96" s="5" t="s">
        <v>201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374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L96" s="80" t="str">
        <f t="shared" si="2"/>
        <v>ChapOrnamentALTcorn2</v>
      </c>
    </row>
    <row r="97" spans="1:90">
      <c r="A97" s="79" t="str">
        <f t="shared" si="3"/>
        <v>Chap Subtitle (cst)</v>
      </c>
      <c r="B97" s="5"/>
      <c r="C97" s="5" t="s">
        <v>586</v>
      </c>
      <c r="D97" s="5" t="s">
        <v>1046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L97" s="80" t="str">
        <f t="shared" si="2"/>
        <v>ChapSubtitlecst</v>
      </c>
    </row>
    <row r="98" spans="1:90">
      <c r="A98" s="79" t="str">
        <f t="shared" si="3"/>
        <v>Chap Title (ct)</v>
      </c>
      <c r="B98" s="5"/>
      <c r="C98" s="5" t="s">
        <v>587</v>
      </c>
      <c r="D98" s="5" t="s">
        <v>1047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5" t="s">
        <v>477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1171</v>
      </c>
      <c r="BT98" s="8" t="b">
        <v>1</v>
      </c>
      <c r="CL98" s="80" t="str">
        <f t="shared" si="2"/>
        <v>ChapTitlect</v>
      </c>
    </row>
    <row r="99" spans="1:90">
      <c r="A99" s="79" t="str">
        <f t="shared" si="3"/>
        <v>Chap Title ALT (act)</v>
      </c>
      <c r="B99" s="5"/>
      <c r="C99" s="5" t="s">
        <v>588</v>
      </c>
      <c r="D99" s="5" t="s">
        <v>1048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1171</v>
      </c>
      <c r="BT99" s="8" t="b">
        <v>1</v>
      </c>
      <c r="CL99" s="80" t="str">
        <f t="shared" si="2"/>
        <v>ChapTitleALTact</v>
      </c>
    </row>
    <row r="100" spans="1:90">
      <c r="A100" s="79" t="str">
        <f t="shared" si="3"/>
        <v>Chap Title Nonprinting (ctnp)</v>
      </c>
      <c r="B100" s="5"/>
      <c r="C100" s="5" t="s">
        <v>589</v>
      </c>
      <c r="D100" s="5" t="s">
        <v>1049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372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1171</v>
      </c>
      <c r="BT100" s="8" t="b">
        <v>1</v>
      </c>
      <c r="CL100" s="80" t="str">
        <f t="shared" si="2"/>
        <v>ChapTitleNonprintingctnp</v>
      </c>
    </row>
    <row r="101" spans="1:90">
      <c r="A101" s="79" t="str">
        <f t="shared" si="3"/>
        <v>Chapter Contents (cc)</v>
      </c>
      <c r="B101" s="5"/>
      <c r="C101" s="5" t="s">
        <v>590</v>
      </c>
      <c r="D101" s="5" t="s">
        <v>1050</v>
      </c>
      <c r="E101" s="5" t="s">
        <v>131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6" t="s">
        <v>370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L101" s="80" t="str">
        <f t="shared" si="2"/>
        <v>ChapterContentscc</v>
      </c>
    </row>
    <row r="102" spans="1:90">
      <c r="A102" s="79" t="str">
        <f t="shared" si="3"/>
        <v>Chart Body Text (crbtx)</v>
      </c>
      <c r="B102" s="5"/>
      <c r="C102" s="5" t="s">
        <v>591</v>
      </c>
      <c r="D102" s="5" t="s">
        <v>1051</v>
      </c>
      <c r="E102" s="5" t="s">
        <v>132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375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L102" s="80" t="str">
        <f t="shared" si="2"/>
        <v>ChartBodyTextcrbtx</v>
      </c>
    </row>
    <row r="103" spans="1:90">
      <c r="A103" s="79" t="str">
        <f t="shared" si="3"/>
        <v>Chart Body Text No-Indent (crbtx1)</v>
      </c>
      <c r="B103" s="5"/>
      <c r="C103" s="5" t="s">
        <v>592</v>
      </c>
      <c r="D103" s="5" t="s">
        <v>1052</v>
      </c>
      <c r="E103" s="5" t="s">
        <v>132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375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L103" s="80" t="str">
        <f t="shared" si="2"/>
        <v>ChartBodyTextNo-Indentcrbtx1</v>
      </c>
    </row>
    <row r="104" spans="1:90">
      <c r="A104" s="79" t="str">
        <f t="shared" si="3"/>
        <v>Chart Column Head (crch)</v>
      </c>
      <c r="B104" s="5"/>
      <c r="C104" s="5" t="s">
        <v>593</v>
      </c>
      <c r="D104" s="5" t="s">
        <v>1053</v>
      </c>
      <c r="E104" s="5" t="s">
        <v>133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375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L104" s="80" t="str">
        <f t="shared" si="2"/>
        <v>ChartColumnHeadcrch</v>
      </c>
    </row>
    <row r="105" spans="1:90">
      <c r="A105" s="79" t="str">
        <f t="shared" si="3"/>
        <v>Chart Footnote (crfn)</v>
      </c>
      <c r="B105" s="5"/>
      <c r="C105" s="5" t="s">
        <v>594</v>
      </c>
      <c r="D105" s="5" t="s">
        <v>1054</v>
      </c>
      <c r="E105" s="5" t="s">
        <v>133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375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L105" s="80" t="str">
        <f t="shared" si="2"/>
        <v>ChartFootnotecrfn</v>
      </c>
    </row>
    <row r="106" spans="1:90">
      <c r="A106" s="79" t="str">
        <f t="shared" si="3"/>
        <v>Chart Head (crh)</v>
      </c>
      <c r="B106" s="5"/>
      <c r="C106" s="5" t="s">
        <v>595</v>
      </c>
      <c r="D106" s="5" t="s">
        <v>1055</v>
      </c>
      <c r="E106" s="5" t="s">
        <v>133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375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L106" s="80" t="str">
        <f t="shared" si="2"/>
        <v>ChartHeadcrh</v>
      </c>
    </row>
    <row r="107" spans="1:90">
      <c r="A107" s="79" t="str">
        <f t="shared" si="3"/>
        <v>Chart Label (crl)</v>
      </c>
      <c r="B107" s="5"/>
      <c r="C107" s="5" t="s">
        <v>596</v>
      </c>
      <c r="D107" s="5" t="s">
        <v>1056</v>
      </c>
      <c r="E107" s="5" t="s">
        <v>133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375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L107" s="80" t="str">
        <f t="shared" si="2"/>
        <v>ChartLabelcrl</v>
      </c>
    </row>
    <row r="108" spans="1:90">
      <c r="A108" s="79" t="str">
        <f t="shared" si="3"/>
        <v>Chart Level-1 Subhead (crh1)</v>
      </c>
      <c r="B108" s="5"/>
      <c r="C108" s="5" t="s">
        <v>597</v>
      </c>
      <c r="D108" s="5" t="s">
        <v>1057</v>
      </c>
      <c r="E108" s="5" t="s">
        <v>133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375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L108" s="80" t="str">
        <f t="shared" si="2"/>
        <v>ChartLevel-1Subheadcrh1</v>
      </c>
    </row>
    <row r="109" spans="1:90">
      <c r="A109" s="79" t="str">
        <f t="shared" si="3"/>
        <v>Chart Level-2 Subhead (crh2)</v>
      </c>
      <c r="B109" s="5"/>
      <c r="C109" s="5" t="s">
        <v>598</v>
      </c>
      <c r="D109" s="5" t="s">
        <v>1058</v>
      </c>
      <c r="E109" s="5" t="s">
        <v>133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375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L109" s="80" t="str">
        <f t="shared" si="2"/>
        <v>ChartLevel-2Subheadcrh2</v>
      </c>
    </row>
    <row r="110" spans="1:90">
      <c r="A110" s="79" t="str">
        <f t="shared" si="3"/>
        <v>Chart Level-3 Subhead (crh3)</v>
      </c>
      <c r="B110" s="5"/>
      <c r="C110" s="5" t="s">
        <v>599</v>
      </c>
      <c r="D110" s="5" t="s">
        <v>1059</v>
      </c>
      <c r="E110" s="5" t="s">
        <v>133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375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L110" s="80" t="str">
        <f t="shared" si="2"/>
        <v>ChartLevel-3Subheadcrh3</v>
      </c>
    </row>
    <row r="111" spans="1:90">
      <c r="A111" s="79" t="str">
        <f t="shared" si="3"/>
        <v>Chart Level-4 Subhead (crh4)</v>
      </c>
      <c r="B111" s="5"/>
      <c r="C111" s="5" t="s">
        <v>600</v>
      </c>
      <c r="D111" s="5" t="s">
        <v>1060</v>
      </c>
      <c r="E111" s="5" t="s">
        <v>133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375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L111" s="80" t="str">
        <f t="shared" si="2"/>
        <v>ChartLevel-4Subheadcrh4</v>
      </c>
    </row>
    <row r="112" spans="1:90">
      <c r="A112" s="79" t="str">
        <f t="shared" si="3"/>
        <v>Chart Level-5 Subhead (crh5)</v>
      </c>
      <c r="B112" s="5"/>
      <c r="C112" s="5" t="s">
        <v>601</v>
      </c>
      <c r="D112" s="5" t="s">
        <v>1061</v>
      </c>
      <c r="E112" s="5" t="s">
        <v>133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375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L112" s="80" t="str">
        <f t="shared" si="2"/>
        <v>ChartLevel-5Subheadcrh5</v>
      </c>
    </row>
    <row r="113" spans="1:90">
      <c r="A113" s="79" t="str">
        <f t="shared" si="3"/>
        <v>Chart Number (crn)</v>
      </c>
      <c r="B113" s="5"/>
      <c r="C113" s="5" t="s">
        <v>602</v>
      </c>
      <c r="D113" s="5" t="s">
        <v>1062</v>
      </c>
      <c r="E113" s="5" t="s">
        <v>133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375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L113" s="80" t="str">
        <f t="shared" si="2"/>
        <v>ChartNumbercrn</v>
      </c>
    </row>
    <row r="114" spans="1:90">
      <c r="A114" s="79" t="str">
        <f t="shared" si="3"/>
        <v>Chart Source Note (crxn)</v>
      </c>
      <c r="B114" s="5"/>
      <c r="C114" s="5" t="s">
        <v>603</v>
      </c>
      <c r="D114" s="5" t="s">
        <v>1063</v>
      </c>
      <c r="E114" s="5" t="s">
        <v>133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375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L114" s="80" t="str">
        <f t="shared" si="2"/>
        <v>ChartSourceNotecrxn</v>
      </c>
    </row>
    <row r="115" spans="1:90">
      <c r="A115" s="79" t="str">
        <f t="shared" si="3"/>
        <v>Chart Subhead (crsh)</v>
      </c>
      <c r="B115" s="5"/>
      <c r="C115" s="5" t="s">
        <v>604</v>
      </c>
      <c r="D115" s="5" t="s">
        <v>1064</v>
      </c>
      <c r="E115" s="5" t="s">
        <v>133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375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L115" s="80" t="str">
        <f t="shared" si="2"/>
        <v>ChartSubheadcrsh</v>
      </c>
    </row>
    <row r="116" spans="1:90">
      <c r="A116" s="79" t="str">
        <f t="shared" si="3"/>
        <v>Checklist (ck)</v>
      </c>
      <c r="B116" s="5"/>
      <c r="C116" s="5" t="s">
        <v>25</v>
      </c>
      <c r="D116" s="5" t="s">
        <v>1065</v>
      </c>
      <c r="E116" s="5" t="s">
        <v>134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L116" s="80" t="str">
        <f t="shared" si="2"/>
        <v>Checklistck</v>
      </c>
    </row>
    <row r="117" spans="1:90">
      <c r="A117" s="79" t="str">
        <f t="shared" si="3"/>
        <v>Checklist Subentry (cksl)</v>
      </c>
      <c r="B117" s="5"/>
      <c r="C117" s="5" t="s">
        <v>605</v>
      </c>
      <c r="D117" s="5" t="s">
        <v>1066</v>
      </c>
      <c r="E117" s="5" t="s">
        <v>135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L117" s="80" t="str">
        <f t="shared" si="2"/>
        <v>ChecklistSubentrycksl</v>
      </c>
    </row>
    <row r="118" spans="1:90">
      <c r="A118" s="79" t="str">
        <f t="shared" si="3"/>
        <v>Collection Book Number (bkn)</v>
      </c>
      <c r="B118" s="5"/>
      <c r="C118" s="5" t="s">
        <v>606</v>
      </c>
      <c r="D118" s="5" t="s">
        <v>1067</v>
      </c>
      <c r="E118" s="5" t="s">
        <v>136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8" t="s">
        <v>137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L118" s="80" t="str">
        <f t="shared" si="2"/>
        <v>CollectionBookNumberbkn</v>
      </c>
    </row>
    <row r="119" spans="1:90">
      <c r="A119" s="79" t="str">
        <f t="shared" si="3"/>
        <v>Collection Book Title (bkt)</v>
      </c>
      <c r="B119" s="5"/>
      <c r="C119" s="5" t="s">
        <v>607</v>
      </c>
      <c r="D119" s="5" t="s">
        <v>1013</v>
      </c>
      <c r="E119" s="5" t="s">
        <v>138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8" t="s">
        <v>137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L119" s="80" t="str">
        <f t="shared" si="2"/>
        <v>CollectionBookTitlebkt</v>
      </c>
    </row>
    <row r="120" spans="1:90">
      <c r="A120" s="79" t="str">
        <f t="shared" si="3"/>
        <v>Colophon Text (coltx)</v>
      </c>
      <c r="B120" s="5"/>
      <c r="C120" s="5" t="s">
        <v>608</v>
      </c>
      <c r="D120" s="5" t="s">
        <v>1068</v>
      </c>
      <c r="E120" s="5" t="s">
        <v>139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L120" s="80" t="str">
        <f t="shared" si="2"/>
        <v>ColophonTextcoltx</v>
      </c>
    </row>
    <row r="121" spans="1:90">
      <c r="A121" s="79" t="str">
        <f t="shared" si="3"/>
        <v>Colophon Text No-Indent (coltx1)</v>
      </c>
      <c r="B121" s="5"/>
      <c r="C121" s="5" t="s">
        <v>609</v>
      </c>
      <c r="D121" s="5" t="s">
        <v>1069</v>
      </c>
      <c r="E121" s="5" t="s">
        <v>139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L121" s="80" t="str">
        <f t="shared" si="2"/>
        <v>ColophonTextNo-Indentcoltx1</v>
      </c>
    </row>
    <row r="122" spans="1:90">
      <c r="A122" s="79" t="str">
        <f t="shared" si="3"/>
        <v>Column Break (cbr)</v>
      </c>
      <c r="B122" s="5"/>
      <c r="C122" s="5" t="s">
        <v>610</v>
      </c>
      <c r="D122" s="5" t="s">
        <v>1070</v>
      </c>
      <c r="E122" s="5" t="s">
        <v>201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374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L122" s="80" t="str">
        <f t="shared" si="2"/>
        <v>ColumnBreakcbr</v>
      </c>
    </row>
    <row r="123" spans="1:90">
      <c r="A123" s="79" t="str">
        <f t="shared" si="3"/>
        <v>Column Head (ch)</v>
      </c>
      <c r="B123" s="5"/>
      <c r="C123" s="5" t="s">
        <v>611</v>
      </c>
      <c r="D123" s="5" t="s">
        <v>1071</v>
      </c>
      <c r="E123" s="5" t="s">
        <v>141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L123" s="80" t="str">
        <f t="shared" si="2"/>
        <v>ColumnHeadch</v>
      </c>
    </row>
    <row r="124" spans="1:90">
      <c r="A124" s="79" t="str">
        <f t="shared" si="3"/>
        <v>Column Text (coltx)</v>
      </c>
      <c r="B124" s="5"/>
      <c r="C124" s="5" t="s">
        <v>612</v>
      </c>
      <c r="D124" s="5" t="s">
        <v>1068</v>
      </c>
      <c r="E124" s="5" t="s">
        <v>140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L124" s="80" t="str">
        <f t="shared" si="2"/>
        <v>ColumnTextcoltx</v>
      </c>
    </row>
    <row r="125" spans="1:90">
      <c r="A125" s="79" t="str">
        <f t="shared" si="3"/>
        <v>Column Text No-Indent (coltx1)</v>
      </c>
      <c r="B125" s="5"/>
      <c r="C125" s="5" t="s">
        <v>613</v>
      </c>
      <c r="D125" s="5" t="s">
        <v>1069</v>
      </c>
      <c r="E125" s="5" t="s">
        <v>141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L125" s="80" t="str">
        <f t="shared" si="2"/>
        <v>ColumnTextNo-Indentcoltx1</v>
      </c>
    </row>
    <row r="126" spans="1:90">
      <c r="A126" s="79" t="str">
        <f t="shared" si="3"/>
        <v>Copyright Text double space (crtxd)</v>
      </c>
      <c r="B126" s="5"/>
      <c r="C126" s="5" t="s">
        <v>614</v>
      </c>
      <c r="D126" s="5" t="s">
        <v>1072</v>
      </c>
      <c r="E126" s="5" t="s">
        <v>142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9" t="s">
        <v>369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L126" s="80" t="str">
        <f t="shared" si="2"/>
        <v>CopyrightTextdoublespacecrtxd</v>
      </c>
    </row>
    <row r="127" spans="1:90">
      <c r="A127" s="79" t="str">
        <f t="shared" si="3"/>
        <v>Copyright Text single space (crtx)</v>
      </c>
      <c r="B127" s="5"/>
      <c r="C127" s="5" t="s">
        <v>615</v>
      </c>
      <c r="D127" s="5" t="s">
        <v>1073</v>
      </c>
      <c r="E127" s="5" t="s">
        <v>143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9" t="s">
        <v>369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L127" s="80" t="str">
        <f t="shared" si="2"/>
        <v>CopyrightTextsinglespacecrtx</v>
      </c>
    </row>
    <row r="128" spans="1:90">
      <c r="A128" s="79" t="str">
        <f t="shared" si="3"/>
        <v>Dateline - Chapter (dl)</v>
      </c>
      <c r="B128" s="5"/>
      <c r="C128" s="5" t="s">
        <v>616</v>
      </c>
      <c r="D128" s="5" t="s">
        <v>1074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144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L128" s="80" t="str">
        <f t="shared" si="2"/>
        <v>Dateline-Chapterdl</v>
      </c>
    </row>
    <row r="129" spans="1:90">
      <c r="A129" s="79" t="str">
        <f t="shared" si="3"/>
        <v>Dateline - Text (tdl)</v>
      </c>
      <c r="B129" s="5"/>
      <c r="C129" s="5" t="s">
        <v>617</v>
      </c>
      <c r="D129" s="5" t="s">
        <v>1075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144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30" t="s">
        <v>145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L129" s="80" t="str">
        <f t="shared" si="2"/>
        <v>Dateline-Texttdl</v>
      </c>
    </row>
    <row r="130" spans="1:90">
      <c r="A130" s="79" t="str">
        <f t="shared" si="3"/>
        <v>Dedication (ded)</v>
      </c>
      <c r="B130" s="5"/>
      <c r="C130" s="5" t="s">
        <v>618</v>
      </c>
      <c r="D130" s="5" t="s">
        <v>1076</v>
      </c>
      <c r="E130" s="5" t="s">
        <v>146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1" t="s">
        <v>358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L130" s="80" t="str">
        <f t="shared" si="2"/>
        <v>Dedicationded</v>
      </c>
    </row>
    <row r="131" spans="1:90">
      <c r="A131" s="79" t="str">
        <f t="shared" si="3"/>
        <v>Dedication Author (dedau)</v>
      </c>
      <c r="B131" s="5"/>
      <c r="C131" s="5" t="s">
        <v>619</v>
      </c>
      <c r="D131" s="5" t="s">
        <v>1077</v>
      </c>
      <c r="E131" s="5" t="s">
        <v>147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1" t="s">
        <v>358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L131" s="80" t="str">
        <f t="shared" si="2"/>
        <v>DedicationAuthordedau</v>
      </c>
    </row>
    <row r="132" spans="1:90">
      <c r="A132" s="79" t="str">
        <f t="shared" si="3"/>
        <v>Definition - Numbered (ndef)</v>
      </c>
      <c r="B132" s="5"/>
      <c r="C132" s="5" t="s">
        <v>620</v>
      </c>
      <c r="D132" s="5" t="s">
        <v>1078</v>
      </c>
      <c r="E132" s="5" t="s">
        <v>148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2" t="s">
        <v>149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L132" s="80" t="str">
        <f t="shared" ref="CL132:CL195" si="4">SUBSTITUTE(SUBSTITUTE(SUBSTITUTE(SUBSTITUTE(A132, "(",""),")","")," ",""),"#","")</f>
        <v>Definition-Numberedndef</v>
      </c>
    </row>
    <row r="133" spans="1:90">
      <c r="A133" s="79" t="str">
        <f t="shared" ref="A133:A196" si="5">IF($D133="","",TRIM($C133)&amp;" "&amp;CHAR(40)&amp;TRIM($D133)&amp;CHAR(41))</f>
        <v>Definition (def)</v>
      </c>
      <c r="B133" s="5"/>
      <c r="C133" s="5" t="s">
        <v>621</v>
      </c>
      <c r="D133" s="5" t="s">
        <v>1079</v>
      </c>
      <c r="E133" s="5" t="s">
        <v>150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2" t="s">
        <v>149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L133" s="80" t="str">
        <f t="shared" si="4"/>
        <v>Definitiondef</v>
      </c>
    </row>
    <row r="134" spans="1:90">
      <c r="A134" s="79" t="str">
        <f t="shared" si="5"/>
        <v>Definition Source (defs)</v>
      </c>
      <c r="B134" s="5"/>
      <c r="C134" s="5" t="s">
        <v>622</v>
      </c>
      <c r="D134" s="5" t="s">
        <v>1080</v>
      </c>
      <c r="E134" s="5" t="s">
        <v>151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2" t="s">
        <v>149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L134" s="80" t="str">
        <f t="shared" si="4"/>
        <v>DefinitionSourcedefs</v>
      </c>
    </row>
    <row r="135" spans="1:90">
      <c r="A135" s="79" t="str">
        <f t="shared" si="5"/>
        <v>Design Note (dn)</v>
      </c>
      <c r="B135" s="5"/>
      <c r="C135" s="5" t="s">
        <v>623</v>
      </c>
      <c r="D135" s="5" t="s">
        <v>1081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L135" s="80" t="str">
        <f t="shared" si="4"/>
        <v>DesignNotedn</v>
      </c>
    </row>
    <row r="136" spans="1:90">
      <c r="A136" s="79" t="str">
        <f t="shared" si="5"/>
        <v>Display Phrase (dis)</v>
      </c>
      <c r="B136" s="5"/>
      <c r="C136" s="5" t="s">
        <v>624</v>
      </c>
      <c r="D136" s="5" t="s">
        <v>1082</v>
      </c>
      <c r="E136" s="5" t="s">
        <v>152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359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L136" s="80" t="str">
        <f t="shared" si="4"/>
        <v>DisplayPhrasedis</v>
      </c>
    </row>
    <row r="137" spans="1:90">
      <c r="A137" s="79" t="str">
        <f t="shared" si="5"/>
        <v>EBK External Hyperlink (HL)</v>
      </c>
      <c r="B137" s="5"/>
      <c r="C137" s="5" t="s">
        <v>625</v>
      </c>
      <c r="D137" s="5" t="s">
        <v>1083</v>
      </c>
      <c r="E137" s="5" t="s">
        <v>153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L137" s="80" t="str">
        <f t="shared" si="4"/>
        <v>EBKExternalHyperlinkHL</v>
      </c>
    </row>
    <row r="138" spans="1:90">
      <c r="A138" s="79" t="str">
        <f t="shared" si="5"/>
        <v>EBK Link Destination (Lb)</v>
      </c>
      <c r="B138" s="5"/>
      <c r="C138" s="5" t="s">
        <v>626</v>
      </c>
      <c r="D138" s="5" t="s">
        <v>1084</v>
      </c>
      <c r="E138" s="5" t="s">
        <v>154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L138" s="80" t="str">
        <f t="shared" si="4"/>
        <v>EBKLinkDestinationLb</v>
      </c>
    </row>
    <row r="139" spans="1:90">
      <c r="A139" s="79" t="str">
        <f t="shared" si="5"/>
        <v>EBK Link Source (La)</v>
      </c>
      <c r="B139" s="5"/>
      <c r="C139" s="5" t="s">
        <v>627</v>
      </c>
      <c r="D139" s="5" t="s">
        <v>1085</v>
      </c>
      <c r="E139" s="5" t="s">
        <v>155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L139" s="80" t="str">
        <f t="shared" si="4"/>
        <v>EBKLinkSourceLa</v>
      </c>
    </row>
    <row r="140" spans="1:90">
      <c r="A140" s="79" t="str">
        <f t="shared" si="5"/>
        <v>Endnote Text (ntx)</v>
      </c>
      <c r="B140" s="5"/>
      <c r="C140" s="5" t="s">
        <v>628</v>
      </c>
      <c r="D140" s="5" t="s">
        <v>1086</v>
      </c>
      <c r="E140" s="5" t="s">
        <v>156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4" t="s">
        <v>157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L140" s="80" t="str">
        <f t="shared" si="4"/>
        <v>EndnoteTextntx</v>
      </c>
    </row>
    <row r="141" spans="1:90">
      <c r="A141" s="79" t="str">
        <f t="shared" si="5"/>
        <v>Entry (en)</v>
      </c>
      <c r="B141" s="5"/>
      <c r="C141" s="5" t="s">
        <v>629</v>
      </c>
      <c r="D141" s="5" t="s">
        <v>1087</v>
      </c>
      <c r="E141" s="5" t="s">
        <v>158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2" t="s">
        <v>149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L141" s="80" t="str">
        <f t="shared" si="4"/>
        <v>Entryen</v>
      </c>
    </row>
    <row r="142" spans="1:90">
      <c r="A142" s="79" t="str">
        <f t="shared" si="5"/>
        <v>Epigraph - non-verse (epi)</v>
      </c>
      <c r="B142" s="5"/>
      <c r="C142" s="5" t="s">
        <v>630</v>
      </c>
      <c r="D142" s="5" t="s">
        <v>1088</v>
      </c>
      <c r="E142" s="5" t="s">
        <v>159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5" t="s">
        <v>367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1471</v>
      </c>
      <c r="BQ142" s="8" t="s">
        <v>1476</v>
      </c>
      <c r="BV142" s="8" t="b">
        <v>1</v>
      </c>
      <c r="CL142" s="80" t="str">
        <f t="shared" si="4"/>
        <v>Epigraph-non-verseepi</v>
      </c>
    </row>
    <row r="143" spans="1:90">
      <c r="A143" s="79" t="str">
        <f t="shared" si="5"/>
        <v>Epigraph - verse (epiv)</v>
      </c>
      <c r="B143" s="5"/>
      <c r="C143" s="5" t="s">
        <v>631</v>
      </c>
      <c r="D143" s="5" t="s">
        <v>1089</v>
      </c>
      <c r="E143" s="5" t="s">
        <v>160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5" t="s">
        <v>367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1471</v>
      </c>
      <c r="BQ143" s="8" t="s">
        <v>1476</v>
      </c>
      <c r="BV143" s="8" t="b">
        <v>1</v>
      </c>
      <c r="CL143" s="80" t="str">
        <f t="shared" si="4"/>
        <v>Epigraph-verseepiv</v>
      </c>
    </row>
    <row r="144" spans="1:90">
      <c r="A144" s="79" t="str">
        <f t="shared" si="5"/>
        <v>Epigraph in Text - non-verse (tepi)</v>
      </c>
      <c r="B144" s="5"/>
      <c r="C144" s="5" t="s">
        <v>632</v>
      </c>
      <c r="D144" s="5" t="s">
        <v>1090</v>
      </c>
      <c r="E144" s="5" t="s">
        <v>161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6" t="s">
        <v>162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1471</v>
      </c>
      <c r="BQ144" s="8" t="s">
        <v>1476</v>
      </c>
      <c r="BV144" s="8" t="b">
        <v>1</v>
      </c>
      <c r="CL144" s="80" t="str">
        <f t="shared" si="4"/>
        <v>EpigraphinText-non-versetepi</v>
      </c>
    </row>
    <row r="145" spans="1:90">
      <c r="A145" s="79" t="str">
        <f t="shared" si="5"/>
        <v>Epigraph in Text - Source (teps)</v>
      </c>
      <c r="B145" s="5"/>
      <c r="C145" s="5" t="s">
        <v>633</v>
      </c>
      <c r="D145" s="5" t="s">
        <v>1091</v>
      </c>
      <c r="E145" s="5" t="s">
        <v>201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6" t="s">
        <v>162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1471</v>
      </c>
      <c r="BQ145" s="8" t="s">
        <v>1476</v>
      </c>
      <c r="BV145" s="8" t="b">
        <v>1</v>
      </c>
      <c r="CL145" s="80" t="str">
        <f t="shared" si="4"/>
        <v>EpigraphinText-Sourceteps</v>
      </c>
    </row>
    <row r="146" spans="1:90">
      <c r="A146" s="79" t="str">
        <f t="shared" si="5"/>
        <v>Epigraph in Text - verse (tepiv)</v>
      </c>
      <c r="B146" s="5"/>
      <c r="C146" s="5" t="s">
        <v>634</v>
      </c>
      <c r="D146" s="5" t="s">
        <v>1092</v>
      </c>
      <c r="E146" s="5" t="s">
        <v>163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6" t="s">
        <v>162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1471</v>
      </c>
      <c r="BQ146" s="8" t="s">
        <v>1476</v>
      </c>
      <c r="BV146" s="8" t="b">
        <v>1</v>
      </c>
      <c r="CL146" s="80" t="str">
        <f t="shared" si="4"/>
        <v>EpigraphinText-versetepiv</v>
      </c>
    </row>
    <row r="147" spans="1:90">
      <c r="A147" s="79" t="str">
        <f t="shared" si="5"/>
        <v>Epigraph Source (eps)</v>
      </c>
      <c r="B147" s="5"/>
      <c r="C147" s="5" t="s">
        <v>635</v>
      </c>
      <c r="D147" s="5" t="s">
        <v>1093</v>
      </c>
      <c r="E147" s="5" t="s">
        <v>201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7" t="s">
        <v>368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1471</v>
      </c>
      <c r="BQ147" s="8" t="s">
        <v>1476</v>
      </c>
      <c r="BV147" s="8" t="b">
        <v>1</v>
      </c>
      <c r="CL147" s="80" t="str">
        <f t="shared" si="4"/>
        <v>EpigraphSourceeps</v>
      </c>
    </row>
    <row r="148" spans="1:90">
      <c r="A148" s="79" t="str">
        <f t="shared" si="5"/>
        <v>Example - Verse (vexa)</v>
      </c>
      <c r="B148" s="5"/>
      <c r="C148" s="5" t="s">
        <v>636</v>
      </c>
      <c r="D148" s="5" t="s">
        <v>1094</v>
      </c>
      <c r="E148" s="5" t="s">
        <v>164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2" t="s">
        <v>149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L148" s="80" t="str">
        <f t="shared" si="4"/>
        <v>Example-Versevexa</v>
      </c>
    </row>
    <row r="149" spans="1:90">
      <c r="A149" s="79" t="str">
        <f t="shared" si="5"/>
        <v>Example (exa)</v>
      </c>
      <c r="B149" s="5"/>
      <c r="C149" s="5" t="s">
        <v>637</v>
      </c>
      <c r="D149" s="5" t="s">
        <v>1095</v>
      </c>
      <c r="E149" s="5" t="s">
        <v>165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2" t="s">
        <v>149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L149" s="80" t="str">
        <f t="shared" si="4"/>
        <v>Exampleexa</v>
      </c>
    </row>
    <row r="150" spans="1:90">
      <c r="A150" s="79" t="str">
        <f t="shared" si="5"/>
        <v>Example e.g. (eg)</v>
      </c>
      <c r="B150" s="5"/>
      <c r="C150" s="5" t="s">
        <v>638</v>
      </c>
      <c r="D150" s="5" t="s">
        <v>1096</v>
      </c>
      <c r="E150" s="5" t="s">
        <v>166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2" t="s">
        <v>149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L150" s="80" t="str">
        <f t="shared" si="4"/>
        <v>Examplee.g.eg</v>
      </c>
    </row>
    <row r="151" spans="1:90">
      <c r="A151" s="79" t="str">
        <f t="shared" si="5"/>
        <v>Example in dialog form (exad)</v>
      </c>
      <c r="B151" s="5"/>
      <c r="C151" s="5" t="s">
        <v>639</v>
      </c>
      <c r="D151" s="5" t="s">
        <v>1097</v>
      </c>
      <c r="E151" s="5" t="s">
        <v>167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2" t="s">
        <v>149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L151" s="80" t="str">
        <f t="shared" si="4"/>
        <v>Exampleindialogformexad</v>
      </c>
    </row>
    <row r="152" spans="1:90">
      <c r="A152" s="79" t="str">
        <f t="shared" si="5"/>
        <v>Extract - Bullet List (extbl)</v>
      </c>
      <c r="B152" s="5"/>
      <c r="C152" s="5" t="s">
        <v>640</v>
      </c>
      <c r="D152" s="5" t="s">
        <v>1098</v>
      </c>
      <c r="E152" s="5" t="s">
        <v>168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6" t="s">
        <v>162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1469</v>
      </c>
      <c r="BO152" s="8" t="s">
        <v>1206</v>
      </c>
      <c r="BP152" s="8" t="s">
        <v>1471</v>
      </c>
      <c r="BU152" s="8" t="b">
        <v>1</v>
      </c>
      <c r="CD152" s="8" t="b">
        <v>1</v>
      </c>
      <c r="CL152" s="80" t="str">
        <f t="shared" si="4"/>
        <v>Extract-BulletListextbl</v>
      </c>
    </row>
    <row r="153" spans="1:90">
      <c r="A153" s="79" t="str">
        <f t="shared" si="5"/>
        <v>Extract - Business Card (extbc)</v>
      </c>
      <c r="B153" s="5"/>
      <c r="C153" s="5" t="s">
        <v>641</v>
      </c>
      <c r="D153" s="5" t="s">
        <v>1099</v>
      </c>
      <c r="E153" s="5" t="s">
        <v>170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6" t="s">
        <v>162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1471</v>
      </c>
      <c r="BU153" s="8" t="b">
        <v>1</v>
      </c>
      <c r="CL153" s="80" t="str">
        <f t="shared" si="4"/>
        <v>Extract-BusinessCardextbc</v>
      </c>
    </row>
    <row r="154" spans="1:90">
      <c r="A154" s="79" t="str">
        <f t="shared" si="5"/>
        <v>Extract - Diary (extd)</v>
      </c>
      <c r="B154" s="5"/>
      <c r="C154" s="5" t="s">
        <v>642</v>
      </c>
      <c r="D154" s="5" t="s">
        <v>1100</v>
      </c>
      <c r="E154" s="5" t="s">
        <v>171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6" t="s">
        <v>162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1471</v>
      </c>
      <c r="BU154" s="8" t="b">
        <v>1</v>
      </c>
      <c r="CL154" s="80" t="str">
        <f t="shared" si="4"/>
        <v>Extract-Diaryextd</v>
      </c>
    </row>
    <row r="155" spans="1:90">
      <c r="A155" s="79" t="str">
        <f t="shared" si="5"/>
        <v>Extract - Email (extem)</v>
      </c>
      <c r="B155" s="5"/>
      <c r="C155" s="5" t="s">
        <v>643</v>
      </c>
      <c r="D155" s="5" t="s">
        <v>1101</v>
      </c>
      <c r="E155" s="5" t="s">
        <v>173</v>
      </c>
      <c r="F155" s="5">
        <v>1</v>
      </c>
      <c r="G155" s="5" t="b">
        <v>0</v>
      </c>
      <c r="H155" s="5">
        <v>1</v>
      </c>
      <c r="I155" s="5" t="s">
        <v>144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6" t="s">
        <v>162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1471</v>
      </c>
      <c r="BU155" s="8" t="b">
        <v>1</v>
      </c>
      <c r="CL155" s="80" t="str">
        <f t="shared" si="4"/>
        <v>Extract-Emailextem</v>
      </c>
    </row>
    <row r="156" spans="1:90">
      <c r="A156" s="79" t="str">
        <f t="shared" si="5"/>
        <v>Extract - Email Heading (emh)</v>
      </c>
      <c r="B156" s="5"/>
      <c r="C156" s="5" t="s">
        <v>644</v>
      </c>
      <c r="D156" s="5" t="s">
        <v>1102</v>
      </c>
      <c r="E156" s="5" t="s">
        <v>173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6" t="s">
        <v>162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1471</v>
      </c>
      <c r="BU156" s="8" t="b">
        <v>1</v>
      </c>
      <c r="CL156" s="80" t="str">
        <f t="shared" si="4"/>
        <v>Extract-EmailHeadingemh</v>
      </c>
    </row>
    <row r="157" spans="1:90">
      <c r="A157" s="79" t="str">
        <f t="shared" si="5"/>
        <v>Extract - Headline (exthl)</v>
      </c>
      <c r="B157" s="5"/>
      <c r="C157" s="5" t="s">
        <v>645</v>
      </c>
      <c r="D157" s="5" t="s">
        <v>1103</v>
      </c>
      <c r="E157" s="5" t="s">
        <v>169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6" t="s">
        <v>162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1471</v>
      </c>
      <c r="BU157" s="8" t="b">
        <v>1</v>
      </c>
      <c r="CL157" s="80" t="str">
        <f t="shared" si="4"/>
        <v>Extract-Headlineexthl</v>
      </c>
    </row>
    <row r="158" spans="1:90">
      <c r="A158" s="79" t="str">
        <f t="shared" si="5"/>
        <v>Extract - Inscription (ins)</v>
      </c>
      <c r="B158" s="5"/>
      <c r="C158" s="5" t="s">
        <v>646</v>
      </c>
      <c r="D158" s="5" t="s">
        <v>1104</v>
      </c>
      <c r="E158" s="5" t="s">
        <v>201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6" t="s">
        <v>162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1471</v>
      </c>
      <c r="BU158" s="8" t="b">
        <v>1</v>
      </c>
      <c r="CL158" s="80" t="str">
        <f t="shared" si="4"/>
        <v>Extract-Inscriptionins</v>
      </c>
    </row>
    <row r="159" spans="1:90">
      <c r="A159" s="79" t="str">
        <f t="shared" si="5"/>
        <v>Extract - Newspaper (news)</v>
      </c>
      <c r="B159" s="5"/>
      <c r="C159" s="5" t="s">
        <v>647</v>
      </c>
      <c r="D159" s="5" t="s">
        <v>1105</v>
      </c>
      <c r="E159" s="5" t="s">
        <v>174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6" t="s">
        <v>162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1471</v>
      </c>
      <c r="BU159" s="8" t="b">
        <v>1</v>
      </c>
      <c r="CL159" s="80" t="str">
        <f t="shared" si="4"/>
        <v>Extract-Newspapernews</v>
      </c>
    </row>
    <row r="160" spans="1:90">
      <c r="A160" s="79" t="str">
        <f t="shared" si="5"/>
        <v>Extract - Note (extn)</v>
      </c>
      <c r="B160" s="5"/>
      <c r="C160" s="5" t="s">
        <v>648</v>
      </c>
      <c r="D160" s="5" t="s">
        <v>1106</v>
      </c>
      <c r="E160" s="5" t="s">
        <v>175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6" t="s">
        <v>162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1471</v>
      </c>
      <c r="BU160" s="8" t="b">
        <v>1</v>
      </c>
      <c r="CL160" s="80" t="str">
        <f t="shared" si="4"/>
        <v>Extract-Noteextn</v>
      </c>
    </row>
    <row r="161" spans="1:90">
      <c r="A161" s="79" t="str">
        <f t="shared" si="5"/>
        <v>Extract - Note Head (extnh)</v>
      </c>
      <c r="B161" s="5"/>
      <c r="C161" s="5" t="s">
        <v>649</v>
      </c>
      <c r="D161" s="5" t="s">
        <v>1107</v>
      </c>
      <c r="E161" s="5" t="s">
        <v>175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6" t="s">
        <v>162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1471</v>
      </c>
      <c r="BU161" s="8" t="b">
        <v>1</v>
      </c>
      <c r="CL161" s="80" t="str">
        <f t="shared" si="4"/>
        <v>Extract-NoteHeadextnh</v>
      </c>
    </row>
    <row r="162" spans="1:90">
      <c r="A162" s="79" t="str">
        <f t="shared" si="5"/>
        <v>Extract - Num List (extnl)</v>
      </c>
      <c r="B162" s="5"/>
      <c r="C162" s="5" t="s">
        <v>650</v>
      </c>
      <c r="D162" s="5" t="s">
        <v>1108</v>
      </c>
      <c r="E162" s="5" t="s">
        <v>176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6" t="s">
        <v>162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1469</v>
      </c>
      <c r="BO162" s="8" t="s">
        <v>1470</v>
      </c>
      <c r="BP162" s="8" t="s">
        <v>1471</v>
      </c>
      <c r="BU162" s="8" t="b">
        <v>1</v>
      </c>
      <c r="CE162" s="8" t="b">
        <v>1</v>
      </c>
      <c r="CL162" s="80" t="str">
        <f t="shared" si="4"/>
        <v>Extract-NumListextnl</v>
      </c>
    </row>
    <row r="163" spans="1:90">
      <c r="A163" s="79" t="str">
        <f t="shared" si="5"/>
        <v>Extract - Schedule of Events (sch)</v>
      </c>
      <c r="B163" s="5"/>
      <c r="C163" s="5" t="s">
        <v>651</v>
      </c>
      <c r="D163" s="5" t="s">
        <v>1109</v>
      </c>
      <c r="E163" s="5" t="s">
        <v>177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6" t="s">
        <v>162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1471</v>
      </c>
      <c r="BU163" s="8" t="b">
        <v>1</v>
      </c>
      <c r="CL163" s="80" t="str">
        <f t="shared" si="4"/>
        <v>Extract-ScheduleofEventssch</v>
      </c>
    </row>
    <row r="164" spans="1:90">
      <c r="A164" s="79" t="str">
        <f t="shared" si="5"/>
        <v>Extract - Song Lyric (extsl)</v>
      </c>
      <c r="B164" s="5"/>
      <c r="C164" s="5" t="s">
        <v>652</v>
      </c>
      <c r="D164" s="5" t="s">
        <v>1110</v>
      </c>
      <c r="E164" s="5" t="s">
        <v>178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6" t="s">
        <v>162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1471</v>
      </c>
      <c r="BU164" s="8" t="b">
        <v>1</v>
      </c>
      <c r="CL164" s="80" t="str">
        <f t="shared" si="4"/>
        <v>Extract-SongLyricextsl</v>
      </c>
    </row>
    <row r="165" spans="1:90">
      <c r="A165" s="79" t="str">
        <f t="shared" si="5"/>
        <v>Extract - Telegram (tel)</v>
      </c>
      <c r="B165" s="5"/>
      <c r="C165" s="5" t="s">
        <v>653</v>
      </c>
      <c r="D165" s="5" t="s">
        <v>1111</v>
      </c>
      <c r="E165" s="5" t="s">
        <v>179</v>
      </c>
      <c r="F165" s="5">
        <v>1</v>
      </c>
      <c r="G165" s="5" t="b">
        <v>0</v>
      </c>
      <c r="H165" s="5">
        <v>1</v>
      </c>
      <c r="I165" s="5" t="s">
        <v>144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6" t="s">
        <v>162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1471</v>
      </c>
      <c r="BU165" s="8" t="b">
        <v>1</v>
      </c>
      <c r="CL165" s="80" t="str">
        <f t="shared" si="4"/>
        <v>Extract-Telegramtel</v>
      </c>
    </row>
    <row r="166" spans="1:90">
      <c r="A166" s="79" t="str">
        <f t="shared" si="5"/>
        <v>Extract - Transcript (trans)</v>
      </c>
      <c r="B166" s="5"/>
      <c r="C166" s="5" t="s">
        <v>654</v>
      </c>
      <c r="D166" s="5" t="s">
        <v>1112</v>
      </c>
      <c r="E166" s="5" t="s">
        <v>180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6" t="s">
        <v>162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1471</v>
      </c>
      <c r="BU166" s="8" t="b">
        <v>1</v>
      </c>
      <c r="CL166" s="80" t="str">
        <f t="shared" si="4"/>
        <v>Extract-Transcripttrans</v>
      </c>
    </row>
    <row r="167" spans="1:90">
      <c r="A167" s="79" t="str">
        <f t="shared" si="5"/>
        <v>Extract - Verse or Poetry (extv)</v>
      </c>
      <c r="B167" s="5"/>
      <c r="C167" s="5" t="s">
        <v>655</v>
      </c>
      <c r="D167" s="5" t="s">
        <v>1113</v>
      </c>
      <c r="E167" s="5" t="s">
        <v>181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6" t="s">
        <v>162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1471</v>
      </c>
      <c r="BU167" s="8" t="b">
        <v>1</v>
      </c>
      <c r="CL167" s="80" t="str">
        <f t="shared" si="4"/>
        <v>Extract-VerseorPoetryextv</v>
      </c>
    </row>
    <row r="168" spans="1:90">
      <c r="A168" s="79" t="str">
        <f t="shared" si="5"/>
        <v>Extract - Website (extws)</v>
      </c>
      <c r="B168" s="5"/>
      <c r="C168" s="5" t="s">
        <v>656</v>
      </c>
      <c r="D168" s="5" t="s">
        <v>1114</v>
      </c>
      <c r="E168" s="5" t="s">
        <v>182</v>
      </c>
      <c r="F168" s="5">
        <v>1</v>
      </c>
      <c r="G168" s="5" t="b">
        <v>0</v>
      </c>
      <c r="H168" s="5">
        <v>1</v>
      </c>
      <c r="I168" s="5" t="s">
        <v>144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6" t="s">
        <v>162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1471</v>
      </c>
      <c r="BU168" s="8" t="b">
        <v>1</v>
      </c>
      <c r="CL168" s="80" t="str">
        <f t="shared" si="4"/>
        <v>Extract-Websiteextws</v>
      </c>
    </row>
    <row r="169" spans="1:90">
      <c r="A169" s="79" t="str">
        <f t="shared" si="5"/>
        <v>Extract (ext)</v>
      </c>
      <c r="B169" s="5"/>
      <c r="C169" s="5" t="s">
        <v>657</v>
      </c>
      <c r="D169" s="5" t="s">
        <v>1115</v>
      </c>
      <c r="E169" s="5" t="s">
        <v>172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6" t="s">
        <v>162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1471</v>
      </c>
      <c r="BU169" s="8" t="b">
        <v>1</v>
      </c>
      <c r="CL169" s="80" t="str">
        <f t="shared" si="4"/>
        <v>Extractext</v>
      </c>
    </row>
    <row r="170" spans="1:90">
      <c r="A170" s="79" t="str">
        <f t="shared" si="5"/>
        <v>Extract Head (exth)</v>
      </c>
      <c r="B170" s="5"/>
      <c r="C170" s="5" t="s">
        <v>658</v>
      </c>
      <c r="D170" s="5" t="s">
        <v>1116</v>
      </c>
      <c r="E170" s="5" t="s">
        <v>169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6" t="s">
        <v>162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1471</v>
      </c>
      <c r="BU170" s="8" t="b">
        <v>1</v>
      </c>
      <c r="CL170" s="80" t="str">
        <f t="shared" si="4"/>
        <v>ExtractHeadexth</v>
      </c>
    </row>
    <row r="171" spans="1:90">
      <c r="A171" s="79" t="str">
        <f t="shared" si="5"/>
        <v>Extract Source (exts)</v>
      </c>
      <c r="B171" s="5"/>
      <c r="C171" s="5" t="s">
        <v>659</v>
      </c>
      <c r="D171" s="5" t="s">
        <v>1117</v>
      </c>
      <c r="E171" s="5" t="s">
        <v>201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6" t="s">
        <v>162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1471</v>
      </c>
      <c r="BU171" s="8" t="b">
        <v>1</v>
      </c>
      <c r="CL171" s="80" t="str">
        <f t="shared" si="4"/>
        <v>ExtractSourceexts</v>
      </c>
    </row>
    <row r="172" spans="1:90">
      <c r="A172" s="79" t="str">
        <f t="shared" si="5"/>
        <v>Extract-No Indent (ext1)</v>
      </c>
      <c r="B172" s="5"/>
      <c r="C172" s="5" t="s">
        <v>660</v>
      </c>
      <c r="D172" s="5" t="s">
        <v>1118</v>
      </c>
      <c r="E172" s="5" t="s">
        <v>172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162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1471</v>
      </c>
      <c r="BU172" s="8" t="b">
        <v>1</v>
      </c>
      <c r="CL172" s="80" t="str">
        <f t="shared" si="4"/>
        <v>Extract-NoIndentext1</v>
      </c>
    </row>
    <row r="173" spans="1:90">
      <c r="A173" s="79" t="str">
        <f t="shared" si="5"/>
        <v>Figure Body Text (fgbtx)</v>
      </c>
      <c r="B173" s="5"/>
      <c r="C173" s="5" t="s">
        <v>661</v>
      </c>
      <c r="D173" s="5" t="s">
        <v>1119</v>
      </c>
      <c r="E173" s="5" t="s">
        <v>183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375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L173" s="80" t="str">
        <f t="shared" si="4"/>
        <v>FigureBodyTextfgbtx</v>
      </c>
    </row>
    <row r="174" spans="1:90">
      <c r="A174" s="79" t="str">
        <f t="shared" si="5"/>
        <v>Figure Body Text No-Indent (fgbtx1)</v>
      </c>
      <c r="B174" s="5"/>
      <c r="C174" s="5" t="s">
        <v>662</v>
      </c>
      <c r="D174" s="5" t="s">
        <v>1120</v>
      </c>
      <c r="E174" s="5" t="s">
        <v>183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375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L174" s="80" t="str">
        <f t="shared" si="4"/>
        <v>FigureBodyTextNo-Indentfgbtx1</v>
      </c>
    </row>
    <row r="175" spans="1:90">
      <c r="A175" s="79" t="str">
        <f t="shared" si="5"/>
        <v>Figure Column Head (fgch)</v>
      </c>
      <c r="B175" s="5"/>
      <c r="C175" s="5" t="s">
        <v>663</v>
      </c>
      <c r="D175" s="5" t="s">
        <v>1121</v>
      </c>
      <c r="E175" s="5" t="s">
        <v>184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375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L175" s="80" t="str">
        <f t="shared" si="4"/>
        <v>FigureColumnHeadfgch</v>
      </c>
    </row>
    <row r="176" spans="1:90">
      <c r="A176" s="79" t="str">
        <f t="shared" si="5"/>
        <v>Figure Footnote (fgfn)</v>
      </c>
      <c r="B176" s="5"/>
      <c r="C176" s="5" t="s">
        <v>664</v>
      </c>
      <c r="D176" s="5" t="s">
        <v>1122</v>
      </c>
      <c r="E176" s="5" t="s">
        <v>184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375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L176" s="80" t="str">
        <f t="shared" si="4"/>
        <v>FigureFootnotefgfn</v>
      </c>
    </row>
    <row r="177" spans="1:90">
      <c r="A177" s="79" t="str">
        <f t="shared" si="5"/>
        <v>Figure Head (fgh)</v>
      </c>
      <c r="B177" s="5"/>
      <c r="C177" s="5" t="s">
        <v>665</v>
      </c>
      <c r="D177" s="5" t="s">
        <v>1123</v>
      </c>
      <c r="E177" s="5" t="s">
        <v>184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375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L177" s="80" t="str">
        <f t="shared" si="4"/>
        <v>FigureHeadfgh</v>
      </c>
    </row>
    <row r="178" spans="1:90">
      <c r="A178" s="79" t="str">
        <f t="shared" si="5"/>
        <v>Figure Label (fgl)</v>
      </c>
      <c r="B178" s="5"/>
      <c r="C178" s="5" t="s">
        <v>666</v>
      </c>
      <c r="D178" s="5" t="s">
        <v>1124</v>
      </c>
      <c r="E178" s="5" t="s">
        <v>184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375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L178" s="80" t="str">
        <f t="shared" si="4"/>
        <v>FigureLabelfgl</v>
      </c>
    </row>
    <row r="179" spans="1:90">
      <c r="A179" s="79" t="str">
        <f t="shared" si="5"/>
        <v>Figure Level-1 Subhead (fgh1)</v>
      </c>
      <c r="B179" s="5"/>
      <c r="C179" s="5" t="s">
        <v>667</v>
      </c>
      <c r="D179" s="5" t="s">
        <v>1125</v>
      </c>
      <c r="E179" s="5" t="s">
        <v>184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375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L179" s="80" t="str">
        <f t="shared" si="4"/>
        <v>FigureLevel-1Subheadfgh1</v>
      </c>
    </row>
    <row r="180" spans="1:90">
      <c r="A180" s="79" t="str">
        <f t="shared" si="5"/>
        <v>Figure Level-2 Subhead (fgh2)</v>
      </c>
      <c r="B180" s="5"/>
      <c r="C180" s="5" t="s">
        <v>668</v>
      </c>
      <c r="D180" s="5" t="s">
        <v>1126</v>
      </c>
      <c r="E180" s="5" t="s">
        <v>184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375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L180" s="80" t="str">
        <f t="shared" si="4"/>
        <v>FigureLevel-2Subheadfgh2</v>
      </c>
    </row>
    <row r="181" spans="1:90">
      <c r="A181" s="79" t="str">
        <f t="shared" si="5"/>
        <v>Figure Level-3 Subhead (fgh3)</v>
      </c>
      <c r="B181" s="5"/>
      <c r="C181" s="5" t="s">
        <v>669</v>
      </c>
      <c r="D181" s="5" t="s">
        <v>1127</v>
      </c>
      <c r="E181" s="5" t="s">
        <v>184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375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L181" s="80" t="str">
        <f t="shared" si="4"/>
        <v>FigureLevel-3Subheadfgh3</v>
      </c>
    </row>
    <row r="182" spans="1:90">
      <c r="A182" s="79" t="str">
        <f t="shared" si="5"/>
        <v>Figure Level-4 Subhead (fgh4)</v>
      </c>
      <c r="B182" s="5"/>
      <c r="C182" s="5" t="s">
        <v>670</v>
      </c>
      <c r="D182" s="5" t="s">
        <v>1128</v>
      </c>
      <c r="E182" s="5" t="s">
        <v>184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375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L182" s="80" t="str">
        <f t="shared" si="4"/>
        <v>FigureLevel-4Subheadfgh4</v>
      </c>
    </row>
    <row r="183" spans="1:90">
      <c r="A183" s="79" t="str">
        <f t="shared" si="5"/>
        <v>Figure Level-5 Subhead (fgh5)</v>
      </c>
      <c r="B183" s="5"/>
      <c r="C183" s="5" t="s">
        <v>671</v>
      </c>
      <c r="D183" s="5" t="s">
        <v>1129</v>
      </c>
      <c r="E183" s="5" t="s">
        <v>184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375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L183" s="80" t="str">
        <f t="shared" si="4"/>
        <v>FigureLevel-5Subheadfgh5</v>
      </c>
    </row>
    <row r="184" spans="1:90">
      <c r="A184" s="79" t="str">
        <f t="shared" si="5"/>
        <v>Figure Number (fgn)</v>
      </c>
      <c r="B184" s="5"/>
      <c r="C184" s="5" t="s">
        <v>672</v>
      </c>
      <c r="D184" s="5" t="s">
        <v>1130</v>
      </c>
      <c r="E184" s="5" t="s">
        <v>184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375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L184" s="80" t="str">
        <f t="shared" si="4"/>
        <v>FigureNumberfgn</v>
      </c>
    </row>
    <row r="185" spans="1:90">
      <c r="A185" s="79" t="str">
        <f t="shared" si="5"/>
        <v>Figure Source Note (fgsn)</v>
      </c>
      <c r="B185" s="5"/>
      <c r="C185" s="5" t="s">
        <v>673</v>
      </c>
      <c r="D185" s="5" t="s">
        <v>1131</v>
      </c>
      <c r="E185" s="5" t="s">
        <v>184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375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L185" s="80" t="str">
        <f t="shared" si="4"/>
        <v>FigureSourceNotefgsn</v>
      </c>
    </row>
    <row r="186" spans="1:90">
      <c r="A186" s="79" t="str">
        <f t="shared" si="5"/>
        <v>Figure Subhead (fgsh)</v>
      </c>
      <c r="B186" s="5"/>
      <c r="C186" s="5" t="s">
        <v>674</v>
      </c>
      <c r="D186" s="5" t="s">
        <v>1132</v>
      </c>
      <c r="E186" s="5" t="s">
        <v>184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375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L186" s="80" t="str">
        <f t="shared" si="4"/>
        <v>FigureSubheadfgsh</v>
      </c>
    </row>
    <row r="187" spans="1:90">
      <c r="A187" s="79" t="str">
        <f t="shared" si="5"/>
        <v>FM Author Name (fmau)</v>
      </c>
      <c r="B187" s="5"/>
      <c r="C187" s="5" t="s">
        <v>675</v>
      </c>
      <c r="D187" s="5" t="s">
        <v>1133</v>
      </c>
      <c r="E187" s="5" t="s">
        <v>188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8" t="s">
        <v>361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L187" s="80" t="str">
        <f t="shared" si="4"/>
        <v>FMAuthorNamefmau</v>
      </c>
    </row>
    <row r="188" spans="1:90">
      <c r="A188" s="79" t="str">
        <f t="shared" si="5"/>
        <v>FM Author Signature (ausig)</v>
      </c>
      <c r="B188" s="5"/>
      <c r="C188" s="5" t="s">
        <v>676</v>
      </c>
      <c r="D188" s="5" t="s">
        <v>1134</v>
      </c>
      <c r="E188" s="5" t="s">
        <v>188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8" t="s">
        <v>361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L188" s="80" t="str">
        <f t="shared" si="4"/>
        <v>FMAuthorSignatureausig</v>
      </c>
    </row>
    <row r="189" spans="1:90">
      <c r="A189" s="79" t="str">
        <f t="shared" si="5"/>
        <v>FM Dramatis Personae (fmdp)</v>
      </c>
      <c r="B189" s="5"/>
      <c r="C189" s="5" t="s">
        <v>677</v>
      </c>
      <c r="D189" s="5" t="s">
        <v>1135</v>
      </c>
      <c r="E189" s="5" t="s">
        <v>185</v>
      </c>
      <c r="F189" s="5">
        <v>1</v>
      </c>
      <c r="G189" s="5" t="b">
        <v>0</v>
      </c>
      <c r="H189" s="5">
        <v>1</v>
      </c>
      <c r="I189" s="5" t="s">
        <v>144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8" t="s">
        <v>361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L189" s="80" t="str">
        <f t="shared" si="4"/>
        <v>FMDramatisPersonaefmdp</v>
      </c>
    </row>
    <row r="190" spans="1:90">
      <c r="A190" s="79" t="str">
        <f t="shared" si="5"/>
        <v>FM Epigraph - non-verse (fmepi)</v>
      </c>
      <c r="B190" s="5"/>
      <c r="C190" s="5" t="s">
        <v>678</v>
      </c>
      <c r="D190" s="5" t="s">
        <v>1136</v>
      </c>
      <c r="E190" s="5" t="s">
        <v>186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8" t="s">
        <v>361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1471</v>
      </c>
      <c r="BQ190" s="8" t="s">
        <v>1476</v>
      </c>
      <c r="BV190" s="8" t="b">
        <v>1</v>
      </c>
      <c r="CL190" s="80" t="str">
        <f t="shared" si="4"/>
        <v>FMEpigraph-non-versefmepi</v>
      </c>
    </row>
    <row r="191" spans="1:90">
      <c r="A191" s="79" t="str">
        <f t="shared" si="5"/>
        <v>FM Epigraph - verse (fmepiv)</v>
      </c>
      <c r="B191" s="5"/>
      <c r="C191" s="5" t="s">
        <v>679</v>
      </c>
      <c r="D191" s="5" t="s">
        <v>1137</v>
      </c>
      <c r="E191" s="5" t="s">
        <v>187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8" t="s">
        <v>361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1471</v>
      </c>
      <c r="BQ191" s="8" t="s">
        <v>1476</v>
      </c>
      <c r="BV191" s="8" t="b">
        <v>1</v>
      </c>
      <c r="CL191" s="80" t="str">
        <f t="shared" si="4"/>
        <v>FMEpigraph-versefmepiv</v>
      </c>
    </row>
    <row r="192" spans="1:90">
      <c r="A192" s="79" t="str">
        <f t="shared" si="5"/>
        <v>FM Epigraph Source (fmeps)</v>
      </c>
      <c r="B192" s="5"/>
      <c r="C192" s="5" t="s">
        <v>680</v>
      </c>
      <c r="D192" s="5" t="s">
        <v>1138</v>
      </c>
      <c r="E192" s="5" t="s">
        <v>188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8" t="s">
        <v>361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1471</v>
      </c>
      <c r="BQ192" s="8" t="s">
        <v>1476</v>
      </c>
      <c r="BV192" s="8" t="b">
        <v>1</v>
      </c>
      <c r="CL192" s="80" t="str">
        <f t="shared" si="4"/>
        <v>FMEpigraphSourcefmeps</v>
      </c>
    </row>
    <row r="193" spans="1:90">
      <c r="A193" s="79" t="str">
        <f t="shared" si="5"/>
        <v>FM Head (fmh)</v>
      </c>
      <c r="B193" s="5"/>
      <c r="C193" s="5" t="s">
        <v>681</v>
      </c>
      <c r="D193" s="5" t="s">
        <v>1139</v>
      </c>
      <c r="E193" s="5" t="s">
        <v>188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8" t="s">
        <v>361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1171</v>
      </c>
      <c r="BT193" s="8" t="b">
        <v>1</v>
      </c>
      <c r="CL193" s="80" t="str">
        <f t="shared" si="4"/>
        <v>FMHeadfmh</v>
      </c>
    </row>
    <row r="194" spans="1:90">
      <c r="A194" s="79" t="str">
        <f t="shared" si="5"/>
        <v>FM Head ALT (afmh)</v>
      </c>
      <c r="B194" s="5"/>
      <c r="C194" s="5" t="s">
        <v>682</v>
      </c>
      <c r="D194" s="5" t="s">
        <v>1140</v>
      </c>
      <c r="E194" s="5" t="s">
        <v>189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8" t="s">
        <v>361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1171</v>
      </c>
      <c r="BT194" s="8" t="b">
        <v>1</v>
      </c>
      <c r="CL194" s="80" t="str">
        <f t="shared" si="4"/>
        <v>FMHeadALTafmh</v>
      </c>
    </row>
    <row r="195" spans="1:90">
      <c r="A195" s="79" t="str">
        <f t="shared" si="5"/>
        <v>FM Head Nonprinting (fmhnp)</v>
      </c>
      <c r="B195" s="5"/>
      <c r="C195" s="5" t="s">
        <v>683</v>
      </c>
      <c r="D195" s="5" t="s">
        <v>1141</v>
      </c>
      <c r="E195" s="5" t="s">
        <v>188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8" t="s">
        <v>361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372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1171</v>
      </c>
      <c r="BT195" s="8" t="b">
        <v>1</v>
      </c>
      <c r="CL195" s="80" t="str">
        <f t="shared" si="4"/>
        <v>FMHeadNonprintingfmhnp</v>
      </c>
    </row>
    <row r="196" spans="1:90">
      <c r="A196" s="79" t="str">
        <f t="shared" si="5"/>
        <v>FM Level-1 Subhead (fmh1)</v>
      </c>
      <c r="B196" s="5"/>
      <c r="C196" s="5" t="s">
        <v>684</v>
      </c>
      <c r="D196" s="5" t="s">
        <v>1142</v>
      </c>
      <c r="E196" s="5" t="s">
        <v>188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8" t="s">
        <v>361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L196" s="80" t="str">
        <f t="shared" ref="CL196:CL259" si="6">SUBSTITUTE(SUBSTITUTE(SUBSTITUTE(SUBSTITUTE(A196, "(",""),")","")," ",""),"#","")</f>
        <v>FMLevel-1Subheadfmh1</v>
      </c>
    </row>
    <row r="197" spans="1:90">
      <c r="A197" s="79" t="str">
        <f t="shared" ref="A197:A260" si="7">IF($D197="","",TRIM($C197)&amp;" "&amp;CHAR(40)&amp;TRIM($D197)&amp;CHAR(41))</f>
        <v>FM Level-2 Subhead (fmh2)</v>
      </c>
      <c r="B197" s="5"/>
      <c r="C197" s="5" t="s">
        <v>685</v>
      </c>
      <c r="D197" s="5" t="s">
        <v>1143</v>
      </c>
      <c r="E197" s="5" t="s">
        <v>188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8" t="s">
        <v>361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L197" s="80" t="str">
        <f t="shared" si="6"/>
        <v>FMLevel-2Subheadfmh2</v>
      </c>
    </row>
    <row r="198" spans="1:90">
      <c r="A198" s="79" t="str">
        <f t="shared" si="7"/>
        <v>FM Level-3 Subhead (fmh3)</v>
      </c>
      <c r="B198" s="5"/>
      <c r="C198" s="5" t="s">
        <v>686</v>
      </c>
      <c r="D198" s="5" t="s">
        <v>1144</v>
      </c>
      <c r="E198" s="5" t="s">
        <v>188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8" t="s">
        <v>361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L198" s="80" t="str">
        <f t="shared" si="6"/>
        <v>FMLevel-3Subheadfmh3</v>
      </c>
    </row>
    <row r="199" spans="1:90">
      <c r="A199" s="79" t="str">
        <f t="shared" si="7"/>
        <v>FM Level-4 Subhead (fmh4)</v>
      </c>
      <c r="B199" s="5"/>
      <c r="C199" s="5" t="s">
        <v>687</v>
      </c>
      <c r="D199" s="5" t="s">
        <v>1145</v>
      </c>
      <c r="E199" s="5" t="s">
        <v>188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9" t="s">
        <v>371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L199" s="80" t="str">
        <f t="shared" si="6"/>
        <v>FMLevel-4Subheadfmh4</v>
      </c>
    </row>
    <row r="200" spans="1:90">
      <c r="A200" s="79" t="str">
        <f t="shared" si="7"/>
        <v>FM Level-5 Subhead (fmh5)</v>
      </c>
      <c r="B200" s="5"/>
      <c r="C200" s="5" t="s">
        <v>688</v>
      </c>
      <c r="D200" s="5" t="s">
        <v>1146</v>
      </c>
      <c r="E200" s="5" t="s">
        <v>188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8" t="s">
        <v>361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L200" s="80" t="str">
        <f t="shared" si="6"/>
        <v>FMLevel-5Subheadfmh5</v>
      </c>
    </row>
    <row r="201" spans="1:90">
      <c r="A201" s="79" t="str">
        <f t="shared" si="7"/>
        <v>FM Subhead (fmsh)</v>
      </c>
      <c r="B201" s="5"/>
      <c r="C201" s="5" t="s">
        <v>689</v>
      </c>
      <c r="D201" s="5" t="s">
        <v>1147</v>
      </c>
      <c r="E201" s="5" t="s">
        <v>188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8" t="s">
        <v>361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L201" s="80" t="str">
        <f t="shared" si="6"/>
        <v>FMSubheadfmsh</v>
      </c>
    </row>
    <row r="202" spans="1:90">
      <c r="A202" s="79" t="str">
        <f t="shared" si="7"/>
        <v>FM Text (fmtx)</v>
      </c>
      <c r="B202" s="5"/>
      <c r="C202" s="5" t="s">
        <v>690</v>
      </c>
      <c r="D202" s="5" t="s">
        <v>1148</v>
      </c>
      <c r="E202" s="5" t="s">
        <v>190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8" t="s">
        <v>361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L202" s="80" t="str">
        <f t="shared" si="6"/>
        <v>FMTextfmtx</v>
      </c>
    </row>
    <row r="203" spans="1:90">
      <c r="A203" s="79" t="str">
        <f t="shared" si="7"/>
        <v>FM Text ALT (afmtx)</v>
      </c>
      <c r="B203" s="5"/>
      <c r="C203" s="5" t="s">
        <v>691</v>
      </c>
      <c r="D203" s="5" t="s">
        <v>1149</v>
      </c>
      <c r="E203" s="5" t="s">
        <v>191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8" t="s">
        <v>361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L203" s="80" t="str">
        <f t="shared" si="6"/>
        <v>FMTextALTafmtx</v>
      </c>
    </row>
    <row r="204" spans="1:90">
      <c r="A204" s="79" t="str">
        <f t="shared" si="7"/>
        <v>FM Text No-Indent (fmtx1)</v>
      </c>
      <c r="B204" s="5"/>
      <c r="C204" s="5" t="s">
        <v>692</v>
      </c>
      <c r="D204" s="5" t="s">
        <v>1150</v>
      </c>
      <c r="E204" s="5" t="s">
        <v>190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8" t="s">
        <v>361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L204" s="80" t="str">
        <f t="shared" si="6"/>
        <v>FMTextNo-Indentfmtx1</v>
      </c>
    </row>
    <row r="205" spans="1:90">
      <c r="A205" s="79" t="str">
        <f t="shared" si="7"/>
        <v>FM Text No-Indent ALT (afmtx1)</v>
      </c>
      <c r="B205" s="5"/>
      <c r="C205" s="5" t="s">
        <v>693</v>
      </c>
      <c r="D205" s="5" t="s">
        <v>1151</v>
      </c>
      <c r="E205" s="5" t="s">
        <v>191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8" t="s">
        <v>361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L205" s="80" t="str">
        <f t="shared" si="6"/>
        <v>FMTextNo-IndentALTafmtx1</v>
      </c>
    </row>
    <row r="206" spans="1:90">
      <c r="A206" s="79" t="str">
        <f t="shared" si="7"/>
        <v>FM Text No-Indent Space After (fmtx1#)</v>
      </c>
      <c r="B206" s="5"/>
      <c r="C206" s="5" t="s">
        <v>694</v>
      </c>
      <c r="D206" s="5" t="s">
        <v>1152</v>
      </c>
      <c r="E206" s="5" t="s">
        <v>190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8" t="s">
        <v>361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L206" s="80" t="str">
        <f t="shared" si="6"/>
        <v>FMTextNo-IndentSpaceAfterfmtx1</v>
      </c>
    </row>
    <row r="207" spans="1:90">
      <c r="A207" s="79" t="str">
        <f t="shared" si="7"/>
        <v>FM Text No-Indent Space Around (#fmtx1#)</v>
      </c>
      <c r="B207" s="5"/>
      <c r="C207" s="5" t="s">
        <v>695</v>
      </c>
      <c r="D207" s="5" t="s">
        <v>1153</v>
      </c>
      <c r="E207" s="5" t="s">
        <v>190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8" t="s">
        <v>361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L207" s="80" t="str">
        <f t="shared" si="6"/>
        <v>FMTextNo-IndentSpaceAroundfmtx1</v>
      </c>
    </row>
    <row r="208" spans="1:90">
      <c r="A208" s="79" t="str">
        <f t="shared" si="7"/>
        <v>FM Text No-Indent Space Before (#fmtx1)</v>
      </c>
      <c r="B208" s="5"/>
      <c r="C208" s="5" t="s">
        <v>696</v>
      </c>
      <c r="D208" s="5" t="s">
        <v>1154</v>
      </c>
      <c r="E208" s="5" t="s">
        <v>190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8" t="s">
        <v>361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L208" s="80" t="str">
        <f t="shared" si="6"/>
        <v>FMTextNo-IndentSpaceBeforefmtx1</v>
      </c>
    </row>
    <row r="209" spans="1:90">
      <c r="A209" s="79" t="str">
        <f t="shared" si="7"/>
        <v>FM Text Space After (fmtx#)</v>
      </c>
      <c r="B209" s="5"/>
      <c r="C209" s="5" t="s">
        <v>697</v>
      </c>
      <c r="D209" s="5" t="s">
        <v>1155</v>
      </c>
      <c r="E209" s="5" t="s">
        <v>190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40" t="s">
        <v>363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L209" s="80" t="str">
        <f t="shared" si="6"/>
        <v>FMTextSpaceAfterfmtx</v>
      </c>
    </row>
    <row r="210" spans="1:90">
      <c r="A210" s="79" t="str">
        <f t="shared" si="7"/>
        <v>FM Text Space Around (#fmtx#)</v>
      </c>
      <c r="B210" s="5"/>
      <c r="C210" s="5" t="s">
        <v>698</v>
      </c>
      <c r="D210" s="5" t="s">
        <v>1156</v>
      </c>
      <c r="E210" s="5" t="s">
        <v>190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40" t="s">
        <v>363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L210" s="80" t="str">
        <f t="shared" si="6"/>
        <v>FMTextSpaceAroundfmtx</v>
      </c>
    </row>
    <row r="211" spans="1:90">
      <c r="A211" s="79" t="str">
        <f t="shared" si="7"/>
        <v>FM Text Space Before (#fmtx)</v>
      </c>
      <c r="B211" s="5"/>
      <c r="C211" s="5" t="s">
        <v>699</v>
      </c>
      <c r="D211" s="5" t="s">
        <v>1157</v>
      </c>
      <c r="E211" s="5" t="s">
        <v>190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40" t="s">
        <v>363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L211" s="80" t="str">
        <f t="shared" si="6"/>
        <v>FMTextSpaceBeforefmtx</v>
      </c>
    </row>
    <row r="212" spans="1:90">
      <c r="A212" s="79" t="str">
        <f t="shared" si="7"/>
        <v>FM Title (fmt)</v>
      </c>
      <c r="B212" s="5"/>
      <c r="C212" s="5" t="s">
        <v>700</v>
      </c>
      <c r="D212" s="5" t="s">
        <v>1158</v>
      </c>
      <c r="E212" s="5" t="s">
        <v>188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8" t="s">
        <v>361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L212" s="80" t="str">
        <f t="shared" si="6"/>
        <v>FMTitlefmt</v>
      </c>
    </row>
    <row r="213" spans="1:90">
      <c r="A213" s="79" t="str">
        <f t="shared" si="7"/>
        <v>Footnote Text (fn)</v>
      </c>
      <c r="B213" s="5"/>
      <c r="C213" s="5" t="s">
        <v>701</v>
      </c>
      <c r="D213" s="5" t="s">
        <v>1159</v>
      </c>
      <c r="E213" s="5" t="s">
        <v>192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41" t="s">
        <v>193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1477</v>
      </c>
      <c r="BO213" s="8" t="s">
        <v>1477</v>
      </c>
      <c r="CL213" s="80" t="str">
        <f t="shared" si="6"/>
        <v>FootnoteTextfn</v>
      </c>
    </row>
    <row r="214" spans="1:90">
      <c r="A214" s="79" t="str">
        <f t="shared" si="7"/>
        <v>Front Sales Quote (fsq)</v>
      </c>
      <c r="B214" s="5"/>
      <c r="C214" s="5" t="s">
        <v>702</v>
      </c>
      <c r="D214" s="5" t="s">
        <v>1160</v>
      </c>
      <c r="E214" s="5" t="s">
        <v>194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42" t="s">
        <v>366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L214" s="80" t="str">
        <f t="shared" si="6"/>
        <v>FrontSalesQuotefsq</v>
      </c>
    </row>
    <row r="215" spans="1:90">
      <c r="A215" s="79" t="str">
        <f t="shared" si="7"/>
        <v>Front Sales Quote Head (fsqh)</v>
      </c>
      <c r="B215" s="5"/>
      <c r="C215" s="5" t="s">
        <v>703</v>
      </c>
      <c r="D215" s="5" t="s">
        <v>1161</v>
      </c>
      <c r="E215" s="5" t="s">
        <v>195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42" t="s">
        <v>366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L215" s="80" t="str">
        <f t="shared" si="6"/>
        <v>FrontSalesQuoteHeadfsqh</v>
      </c>
    </row>
    <row r="216" spans="1:90">
      <c r="A216" s="79" t="str">
        <f t="shared" si="7"/>
        <v>Front Sales Quote NoIndent (fsq1)</v>
      </c>
      <c r="B216" s="5"/>
      <c r="C216" s="5" t="s">
        <v>704</v>
      </c>
      <c r="D216" s="5" t="s">
        <v>1162</v>
      </c>
      <c r="E216" s="5" t="s">
        <v>194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42" t="s">
        <v>366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L216" s="80" t="str">
        <f t="shared" si="6"/>
        <v>FrontSalesQuoteNoIndentfsq1</v>
      </c>
    </row>
    <row r="217" spans="1:90">
      <c r="A217" s="79" t="str">
        <f t="shared" si="7"/>
        <v>Front Sales Quote Source (fsqs)</v>
      </c>
      <c r="B217" s="5"/>
      <c r="C217" s="5" t="s">
        <v>705</v>
      </c>
      <c r="D217" s="5" t="s">
        <v>1163</v>
      </c>
      <c r="E217" s="5" t="s">
        <v>197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42" t="s">
        <v>366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L217" s="80" t="str">
        <f t="shared" si="6"/>
        <v>FrontSalesQuoteSourcefsqs</v>
      </c>
    </row>
    <row r="218" spans="1:90">
      <c r="A218" s="79" t="str">
        <f t="shared" si="7"/>
        <v>Front Sales Subtitle (fsst)</v>
      </c>
      <c r="B218" s="5"/>
      <c r="C218" s="5" t="s">
        <v>706</v>
      </c>
      <c r="D218" s="5" t="s">
        <v>1164</v>
      </c>
      <c r="E218" s="5" t="s">
        <v>197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42" t="s">
        <v>366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L218" s="80" t="str">
        <f t="shared" si="6"/>
        <v>FrontSalesSubtitlefsst</v>
      </c>
    </row>
    <row r="219" spans="1:90">
      <c r="A219" s="79" t="str">
        <f t="shared" si="7"/>
        <v>Front Sales Text (fstx)</v>
      </c>
      <c r="B219" s="5"/>
      <c r="C219" s="5" t="s">
        <v>707</v>
      </c>
      <c r="D219" s="5" t="s">
        <v>1165</v>
      </c>
      <c r="E219" s="5" t="s">
        <v>196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42" t="s">
        <v>366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L219" s="80" t="str">
        <f t="shared" si="6"/>
        <v>FrontSalesTextfstx</v>
      </c>
    </row>
    <row r="220" spans="1:90">
      <c r="A220" s="79" t="str">
        <f t="shared" si="7"/>
        <v>Front Sales Text NoIndent (fstx1)</v>
      </c>
      <c r="B220" s="5"/>
      <c r="C220" s="5" t="s">
        <v>708</v>
      </c>
      <c r="D220" s="5" t="s">
        <v>1166</v>
      </c>
      <c r="E220" s="5" t="s">
        <v>196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42" t="s">
        <v>366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L220" s="80" t="str">
        <f t="shared" si="6"/>
        <v>FrontSalesTextNoIndentfstx1</v>
      </c>
    </row>
    <row r="221" spans="1:90">
      <c r="A221" s="79" t="str">
        <f t="shared" si="7"/>
        <v>Front Sales Title (fst)</v>
      </c>
      <c r="B221" s="5"/>
      <c r="C221" s="5" t="s">
        <v>709</v>
      </c>
      <c r="D221" s="5" t="s">
        <v>1167</v>
      </c>
      <c r="E221" s="5" t="s">
        <v>197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42" t="s">
        <v>366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1171</v>
      </c>
      <c r="BT221" s="8" t="b">
        <v>1</v>
      </c>
      <c r="CL221" s="80" t="str">
        <f t="shared" si="6"/>
        <v>FrontSalesTitlefst</v>
      </c>
    </row>
    <row r="222" spans="1:90">
      <c r="A222" s="79" t="str">
        <f t="shared" si="7"/>
        <v>Glossary Term (glt)</v>
      </c>
      <c r="B222" s="5"/>
      <c r="C222" s="5" t="s">
        <v>710</v>
      </c>
      <c r="D222" s="5" t="s">
        <v>1168</v>
      </c>
      <c r="E222" s="5" t="s">
        <v>198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2" t="s">
        <v>149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L222" s="80" t="str">
        <f t="shared" si="6"/>
        <v>GlossaryTermglt</v>
      </c>
    </row>
    <row r="223" spans="1:90">
      <c r="A223" s="79" t="str">
        <f t="shared" si="7"/>
        <v>Glossary Text (gltx)</v>
      </c>
      <c r="B223" s="5"/>
      <c r="C223" s="5" t="s">
        <v>711</v>
      </c>
      <c r="D223" s="5" t="s">
        <v>1169</v>
      </c>
      <c r="E223" s="5" t="s">
        <v>199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2" t="s">
        <v>149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L223" s="80" t="str">
        <f t="shared" si="6"/>
        <v>GlossaryTextgltx</v>
      </c>
    </row>
    <row r="224" spans="1:90">
      <c r="A224" s="79" t="str">
        <f t="shared" si="7"/>
        <v>Halftitle Book Title (htit)</v>
      </c>
      <c r="B224" s="5"/>
      <c r="C224" s="5" t="s">
        <v>712</v>
      </c>
      <c r="D224" s="5" t="s">
        <v>1170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3" t="s">
        <v>365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1171</v>
      </c>
      <c r="BT224" s="8" t="b">
        <v>1</v>
      </c>
      <c r="CL224" s="80" t="str">
        <f t="shared" si="6"/>
        <v>HalftitleBookTitlehtit</v>
      </c>
    </row>
    <row r="225" spans="1:90">
      <c r="A225" s="79" t="str">
        <f t="shared" si="7"/>
        <v>Head - Level-1 (h1)</v>
      </c>
      <c r="B225" s="5"/>
      <c r="C225" s="5" t="s">
        <v>713</v>
      </c>
      <c r="D225" s="5" t="s">
        <v>1171</v>
      </c>
      <c r="E225" s="5" t="s">
        <v>201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3" t="s">
        <v>396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0" t="s">
        <v>145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L225" s="80" t="str">
        <f t="shared" si="6"/>
        <v>Head-Level-1h1</v>
      </c>
    </row>
    <row r="226" spans="1:90">
      <c r="A226" s="79" t="str">
        <f t="shared" si="7"/>
        <v>Head - Level-2 (h2)</v>
      </c>
      <c r="B226" s="5"/>
      <c r="C226" s="5" t="s">
        <v>714</v>
      </c>
      <c r="D226" s="5" t="s">
        <v>1172</v>
      </c>
      <c r="E226" s="5" t="s">
        <v>201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3" t="s">
        <v>397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0" t="s">
        <v>145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L226" s="80" t="str">
        <f t="shared" si="6"/>
        <v>Head-Level-2h2</v>
      </c>
    </row>
    <row r="227" spans="1:90">
      <c r="A227" s="79" t="str">
        <f t="shared" si="7"/>
        <v>Head - Level-3 (h3)</v>
      </c>
      <c r="B227" s="5"/>
      <c r="C227" s="5" t="s">
        <v>715</v>
      </c>
      <c r="D227" s="5" t="s">
        <v>1173</v>
      </c>
      <c r="E227" s="5" t="s">
        <v>201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3" t="s">
        <v>398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0" t="s">
        <v>145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L227" s="80" t="str">
        <f t="shared" si="6"/>
        <v>Head-Level-3h3</v>
      </c>
    </row>
    <row r="228" spans="1:90">
      <c r="A228" s="79" t="str">
        <f t="shared" si="7"/>
        <v>Head - Level-4 (h4)</v>
      </c>
      <c r="B228" s="5"/>
      <c r="C228" s="5" t="s">
        <v>716</v>
      </c>
      <c r="D228" s="5" t="s">
        <v>1174</v>
      </c>
      <c r="E228" s="5" t="s">
        <v>201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0" t="s">
        <v>145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L228" s="80" t="str">
        <f t="shared" si="6"/>
        <v>Head-Level-4h4</v>
      </c>
    </row>
    <row r="229" spans="1:90">
      <c r="A229" s="79" t="str">
        <f t="shared" si="7"/>
        <v>Head - Level-5 (h5)</v>
      </c>
      <c r="B229" s="5"/>
      <c r="C229" s="5" t="s">
        <v>717</v>
      </c>
      <c r="D229" s="5" t="s">
        <v>1175</v>
      </c>
      <c r="E229" s="5" t="s">
        <v>201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0" t="s">
        <v>145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L229" s="80" t="str">
        <f t="shared" si="6"/>
        <v>Head-Level-5h5</v>
      </c>
    </row>
    <row r="230" spans="1:90">
      <c r="A230" s="79" t="str">
        <f t="shared" si="7"/>
        <v>Head - Level-6 (h6)</v>
      </c>
      <c r="B230" s="5"/>
      <c r="C230" s="5" t="s">
        <v>718</v>
      </c>
      <c r="D230" s="5" t="s">
        <v>1176</v>
      </c>
      <c r="E230" s="5" t="s">
        <v>201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0" t="s">
        <v>145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L230" s="80" t="str">
        <f t="shared" si="6"/>
        <v>Head-Level-6h6</v>
      </c>
    </row>
    <row r="231" spans="1:90">
      <c r="A231" s="79" t="str">
        <f t="shared" si="7"/>
        <v>Illustration Credits Text (ilctx)</v>
      </c>
      <c r="B231" s="5"/>
      <c r="C231" s="5" t="s">
        <v>719</v>
      </c>
      <c r="D231" s="5" t="s">
        <v>1177</v>
      </c>
      <c r="E231" s="5" t="s">
        <v>202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1475</v>
      </c>
      <c r="BZ231" s="8" t="b">
        <v>1</v>
      </c>
      <c r="CL231" s="80" t="str">
        <f t="shared" si="6"/>
        <v>IllustrationCreditsTextilctx</v>
      </c>
    </row>
    <row r="232" spans="1:90">
      <c r="A232" s="79" t="str">
        <f t="shared" si="7"/>
        <v>Illustration Credits Text No-Indent (ilctx1)</v>
      </c>
      <c r="B232" s="5"/>
      <c r="C232" s="5" t="s">
        <v>720</v>
      </c>
      <c r="D232" s="5" t="s">
        <v>1178</v>
      </c>
      <c r="E232" s="5" t="s">
        <v>202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1475</v>
      </c>
      <c r="BZ232" s="8" t="b">
        <v>1</v>
      </c>
      <c r="CL232" s="80" t="str">
        <f t="shared" si="6"/>
        <v>IllustrationCreditsTextNo-Indentilctx1</v>
      </c>
    </row>
    <row r="233" spans="1:90">
      <c r="A233" s="79" t="str">
        <f t="shared" si="7"/>
        <v>Illustration holder (ill)</v>
      </c>
      <c r="B233" s="5"/>
      <c r="C233" s="5" t="s">
        <v>721</v>
      </c>
      <c r="D233" s="5" t="s">
        <v>1179</v>
      </c>
      <c r="E233" s="5" t="s">
        <v>234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1478</v>
      </c>
      <c r="BP233" s="8" t="s">
        <v>1475</v>
      </c>
      <c r="BZ233" s="8" t="b">
        <v>1</v>
      </c>
      <c r="CA233" s="8" t="b">
        <v>1</v>
      </c>
      <c r="CL233" s="80" t="str">
        <f t="shared" si="6"/>
        <v>Illustrationholderill</v>
      </c>
    </row>
    <row r="234" spans="1:90">
      <c r="A234" s="79" t="str">
        <f t="shared" si="7"/>
        <v>Illustration Source (is)</v>
      </c>
      <c r="B234" s="5"/>
      <c r="C234" s="5" t="s">
        <v>722</v>
      </c>
      <c r="D234" s="5" t="s">
        <v>1180</v>
      </c>
      <c r="E234" s="5" t="s">
        <v>203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1475</v>
      </c>
      <c r="BZ234" s="8" t="b">
        <v>1</v>
      </c>
      <c r="CC234" s="8" t="b">
        <v>1</v>
      </c>
      <c r="CL234" s="80" t="str">
        <f t="shared" si="6"/>
        <v>IllustrationSourceis</v>
      </c>
    </row>
    <row r="235" spans="1:90">
      <c r="A235" s="79" t="str">
        <f t="shared" si="7"/>
        <v>Index Entry (ine)</v>
      </c>
      <c r="B235" s="5"/>
      <c r="C235" s="5" t="s">
        <v>723</v>
      </c>
      <c r="D235" s="5" t="s">
        <v>1181</v>
      </c>
      <c r="E235" s="5" t="s">
        <v>204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4" t="s">
        <v>205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L235" s="80" t="str">
        <f t="shared" si="6"/>
        <v>IndexEntryine</v>
      </c>
    </row>
    <row r="236" spans="1:90">
      <c r="A236" s="79" t="str">
        <f t="shared" si="7"/>
        <v>Index Internal Subhead (ih1)</v>
      </c>
      <c r="B236" s="5"/>
      <c r="C236" s="5" t="s">
        <v>724</v>
      </c>
      <c r="D236" s="5" t="s">
        <v>1182</v>
      </c>
      <c r="E236" s="5" t="s">
        <v>204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4" t="s">
        <v>205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L236" s="80" t="str">
        <f t="shared" si="6"/>
        <v>IndexInternalSubheadih1</v>
      </c>
    </row>
    <row r="237" spans="1:90">
      <c r="A237" s="79" t="str">
        <f t="shared" si="7"/>
        <v>Index Sub-subentry (insse)</v>
      </c>
      <c r="B237" s="5"/>
      <c r="C237" s="5" t="s">
        <v>725</v>
      </c>
      <c r="D237" s="5" t="s">
        <v>1183</v>
      </c>
      <c r="E237" s="5" t="s">
        <v>204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4" t="s">
        <v>205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L237" s="80" t="str">
        <f t="shared" si="6"/>
        <v>IndexSub-subentryinsse</v>
      </c>
    </row>
    <row r="238" spans="1:90">
      <c r="A238" s="79" t="str">
        <f t="shared" si="7"/>
        <v>Index Subentry (inse)</v>
      </c>
      <c r="B238" s="5"/>
      <c r="C238" s="5" t="s">
        <v>726</v>
      </c>
      <c r="D238" s="5" t="s">
        <v>1184</v>
      </c>
      <c r="E238" s="5" t="s">
        <v>204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4" t="s">
        <v>205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L238" s="80" t="str">
        <f t="shared" si="6"/>
        <v>IndexSubentryinse</v>
      </c>
    </row>
    <row r="239" spans="1:90">
      <c r="A239" s="79" t="str">
        <f t="shared" si="7"/>
        <v>Index Text (intx)</v>
      </c>
      <c r="B239" s="5"/>
      <c r="C239" s="5" t="s">
        <v>727</v>
      </c>
      <c r="D239" s="5" t="s">
        <v>1185</v>
      </c>
      <c r="E239" s="5" t="s">
        <v>206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4" t="s">
        <v>205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L239" s="80" t="str">
        <f t="shared" si="6"/>
        <v>IndexTextintx</v>
      </c>
    </row>
    <row r="240" spans="1:90">
      <c r="A240" s="79" t="str">
        <f t="shared" si="7"/>
        <v>Ingredients Head (rih)</v>
      </c>
      <c r="B240" s="5"/>
      <c r="C240" s="5" t="s">
        <v>728</v>
      </c>
      <c r="D240" s="5" t="s">
        <v>1186</v>
      </c>
      <c r="E240" s="5" t="s">
        <v>208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5" t="s">
        <v>207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L240" s="80" t="str">
        <f t="shared" si="6"/>
        <v>IngredientsHeadrih</v>
      </c>
    </row>
    <row r="241" spans="1:90">
      <c r="A241" s="79" t="str">
        <f t="shared" si="7"/>
        <v>Ingredients List (ri)</v>
      </c>
      <c r="B241" s="5"/>
      <c r="C241" s="5" t="s">
        <v>729</v>
      </c>
      <c r="D241" s="5" t="s">
        <v>1187</v>
      </c>
      <c r="E241" s="5" t="s">
        <v>208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5" t="s">
        <v>207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L241" s="80" t="str">
        <f t="shared" si="6"/>
        <v>IngredientsListri</v>
      </c>
    </row>
    <row r="242" spans="1:90">
      <c r="A242" s="79" t="str">
        <f t="shared" si="7"/>
        <v>Initial Cap (ic)</v>
      </c>
      <c r="B242" s="5"/>
      <c r="C242" s="5" t="s">
        <v>730</v>
      </c>
      <c r="D242" s="5" t="s">
        <v>1188</v>
      </c>
      <c r="E242" s="5" t="s">
        <v>209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3" t="s">
        <v>359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L242" s="80" t="str">
        <f t="shared" si="6"/>
        <v>InitialCapic</v>
      </c>
    </row>
    <row r="243" spans="1:90">
      <c r="A243" s="79" t="str">
        <f t="shared" si="7"/>
        <v>Letter Ext Address (ladd)</v>
      </c>
      <c r="B243" s="5"/>
      <c r="C243" s="5" t="s">
        <v>731</v>
      </c>
      <c r="D243" s="5" t="s">
        <v>1189</v>
      </c>
      <c r="E243" s="5" t="s">
        <v>210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1471</v>
      </c>
      <c r="BU243" s="8" t="b">
        <v>1</v>
      </c>
      <c r="CL243" s="80" t="str">
        <f t="shared" si="6"/>
        <v>LetterExtAddressladd</v>
      </c>
    </row>
    <row r="244" spans="1:90">
      <c r="A244" s="79" t="str">
        <f t="shared" si="7"/>
        <v>Letter Ext Body Text (ltx)</v>
      </c>
      <c r="B244" s="5"/>
      <c r="C244" s="5" t="s">
        <v>732</v>
      </c>
      <c r="D244" s="5" t="s">
        <v>1190</v>
      </c>
      <c r="E244" s="5" t="s">
        <v>211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1471</v>
      </c>
      <c r="BU244" s="8" t="b">
        <v>1</v>
      </c>
      <c r="CL244" s="80" t="str">
        <f t="shared" si="6"/>
        <v>LetterExtBodyTextltx</v>
      </c>
    </row>
    <row r="245" spans="1:90">
      <c r="A245" s="79" t="str">
        <f t="shared" si="7"/>
        <v>Letter Ext Body Text No-Indent (ltx1)</v>
      </c>
      <c r="B245" s="5"/>
      <c r="C245" s="5" t="s">
        <v>733</v>
      </c>
      <c r="D245" s="5" t="s">
        <v>1191</v>
      </c>
      <c r="E245" s="5" t="s">
        <v>211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1471</v>
      </c>
      <c r="BU245" s="8" t="b">
        <v>1</v>
      </c>
      <c r="CL245" s="80" t="str">
        <f t="shared" si="6"/>
        <v>LetterExtBodyTextNo-Indentltx1</v>
      </c>
    </row>
    <row r="246" spans="1:90">
      <c r="A246" s="79" t="str">
        <f t="shared" si="7"/>
        <v>Letter Ext Closing (lcl)</v>
      </c>
      <c r="B246" s="5"/>
      <c r="C246" s="5" t="s">
        <v>734</v>
      </c>
      <c r="D246" s="5" t="s">
        <v>1192</v>
      </c>
      <c r="E246" s="5" t="s">
        <v>212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1471</v>
      </c>
      <c r="BU246" s="8" t="b">
        <v>1</v>
      </c>
      <c r="CL246" s="80" t="str">
        <f t="shared" si="6"/>
        <v>LetterExtClosinglcl</v>
      </c>
    </row>
    <row r="247" spans="1:90">
      <c r="A247" s="79" t="str">
        <f t="shared" si="7"/>
        <v>Letter Ext Dateline (ldl)</v>
      </c>
      <c r="B247" s="5"/>
      <c r="C247" s="5" t="s">
        <v>735</v>
      </c>
      <c r="D247" s="5" t="s">
        <v>1193</v>
      </c>
      <c r="E247" s="5" t="s">
        <v>213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1471</v>
      </c>
      <c r="BU247" s="8" t="b">
        <v>1</v>
      </c>
      <c r="CL247" s="80" t="str">
        <f t="shared" si="6"/>
        <v>LetterExtDatelineldl</v>
      </c>
    </row>
    <row r="248" spans="1:90">
      <c r="A248" s="79" t="str">
        <f t="shared" si="7"/>
        <v>Letter Ext General (extl)</v>
      </c>
      <c r="B248" s="5"/>
      <c r="C248" s="5" t="s">
        <v>736</v>
      </c>
      <c r="D248" s="5" t="s">
        <v>1194</v>
      </c>
      <c r="E248" s="5" t="s">
        <v>214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1471</v>
      </c>
      <c r="BU248" s="8" t="b">
        <v>1</v>
      </c>
      <c r="CL248" s="80" t="str">
        <f t="shared" si="6"/>
        <v>LetterExtGeneralextl</v>
      </c>
    </row>
    <row r="249" spans="1:90">
      <c r="A249" s="79" t="str">
        <f t="shared" si="7"/>
        <v>Letter Ext Headnote (hn)</v>
      </c>
      <c r="B249" s="5"/>
      <c r="C249" s="5" t="s">
        <v>737</v>
      </c>
      <c r="D249" s="5" t="s">
        <v>1195</v>
      </c>
      <c r="E249" s="5" t="s">
        <v>215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1471</v>
      </c>
      <c r="BU249" s="8" t="b">
        <v>1</v>
      </c>
      <c r="CL249" s="80" t="str">
        <f t="shared" si="6"/>
        <v>LetterExtHeadnotehn</v>
      </c>
    </row>
    <row r="250" spans="1:90">
      <c r="A250" s="79" t="str">
        <f t="shared" si="7"/>
        <v>Letter Ext Postscript (lps)</v>
      </c>
      <c r="B250" s="5"/>
      <c r="C250" s="5" t="s">
        <v>738</v>
      </c>
      <c r="D250" s="5" t="s">
        <v>1196</v>
      </c>
      <c r="E250" s="5" t="s">
        <v>216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1471</v>
      </c>
      <c r="BU250" s="8" t="b">
        <v>1</v>
      </c>
      <c r="CL250" s="80" t="str">
        <f t="shared" si="6"/>
        <v>LetterExtPostscriptlps</v>
      </c>
    </row>
    <row r="251" spans="1:90">
      <c r="A251" s="79" t="str">
        <f t="shared" si="7"/>
        <v>Letter Ext Salutation (lsa)</v>
      </c>
      <c r="B251" s="5"/>
      <c r="C251" s="5" t="s">
        <v>739</v>
      </c>
      <c r="D251" s="5" t="s">
        <v>1197</v>
      </c>
      <c r="E251" s="5" t="s">
        <v>217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1471</v>
      </c>
      <c r="BU251" s="8" t="b">
        <v>1</v>
      </c>
      <c r="CL251" s="80" t="str">
        <f t="shared" si="6"/>
        <v>LetterExtSalutationlsa</v>
      </c>
    </row>
    <row r="252" spans="1:90">
      <c r="A252" s="79" t="str">
        <f t="shared" si="7"/>
        <v>Letter Ext Signature (lsig)</v>
      </c>
      <c r="B252" s="5"/>
      <c r="C252" s="5" t="s">
        <v>740</v>
      </c>
      <c r="D252" s="5" t="s">
        <v>1198</v>
      </c>
      <c r="E252" s="5" t="s">
        <v>218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1471</v>
      </c>
      <c r="BU252" s="8" t="b">
        <v>1</v>
      </c>
      <c r="CL252" s="80" t="str">
        <f t="shared" si="6"/>
        <v>LetterExtSignaturelsig</v>
      </c>
    </row>
    <row r="253" spans="1:90">
      <c r="A253" s="79" t="str">
        <f t="shared" si="7"/>
        <v>List Alpha (al)</v>
      </c>
      <c r="B253" s="5"/>
      <c r="C253" s="5" t="s">
        <v>741</v>
      </c>
      <c r="D253" s="5" t="s">
        <v>1199</v>
      </c>
      <c r="E253" s="5" t="s">
        <v>219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1469</v>
      </c>
      <c r="BO253" s="8" t="s">
        <v>1470</v>
      </c>
      <c r="CE253" s="8" t="b">
        <v>1</v>
      </c>
      <c r="CL253" s="80" t="str">
        <f t="shared" si="6"/>
        <v>ListAlphaal</v>
      </c>
    </row>
    <row r="254" spans="1:90">
      <c r="A254" s="79" t="str">
        <f t="shared" si="7"/>
        <v>List Alpha Subentry (asl)</v>
      </c>
      <c r="B254" s="5"/>
      <c r="C254" s="5" t="s">
        <v>742</v>
      </c>
      <c r="D254" s="5" t="s">
        <v>1200</v>
      </c>
      <c r="E254" s="5" t="s">
        <v>220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1469</v>
      </c>
      <c r="BO254" s="8" t="s">
        <v>1470</v>
      </c>
      <c r="CG254" s="8" t="b">
        <v>1</v>
      </c>
      <c r="CL254" s="80" t="str">
        <f t="shared" si="6"/>
        <v>ListAlphaSubentryasl</v>
      </c>
    </row>
    <row r="255" spans="1:90">
      <c r="A255" s="79" t="str">
        <f t="shared" si="7"/>
        <v>List Bullet (bl)</v>
      </c>
      <c r="B255" s="5"/>
      <c r="C255" s="5" t="s">
        <v>743</v>
      </c>
      <c r="D255" s="5" t="s">
        <v>1201</v>
      </c>
      <c r="E255" s="5" t="s">
        <v>221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1469</v>
      </c>
      <c r="BO255" s="8" t="s">
        <v>1206</v>
      </c>
      <c r="CD255" s="8" t="b">
        <v>1</v>
      </c>
      <c r="CL255" s="80" t="str">
        <f t="shared" si="6"/>
        <v>ListBulletbl</v>
      </c>
    </row>
    <row r="256" spans="1:90">
      <c r="A256" s="79" t="str">
        <f t="shared" si="7"/>
        <v>List Bullet Subentry (bsl)</v>
      </c>
      <c r="B256" s="5"/>
      <c r="C256" s="5" t="s">
        <v>744</v>
      </c>
      <c r="D256" s="5" t="s">
        <v>1202</v>
      </c>
      <c r="E256" s="5" t="s">
        <v>222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1469</v>
      </c>
      <c r="BO256" s="8" t="s">
        <v>1206</v>
      </c>
      <c r="CF256" s="8" t="b">
        <v>1</v>
      </c>
      <c r="CL256" s="80" t="str">
        <f t="shared" si="6"/>
        <v>ListBulletSubentrybsl</v>
      </c>
    </row>
    <row r="257" spans="1:90">
      <c r="A257" s="79" t="str">
        <f t="shared" si="7"/>
        <v>List Head (lh)</v>
      </c>
      <c r="B257" s="5"/>
      <c r="C257" s="5" t="s">
        <v>745</v>
      </c>
      <c r="D257" s="5" t="s">
        <v>1203</v>
      </c>
      <c r="E257" s="5" t="s">
        <v>223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L257" s="80" t="str">
        <f t="shared" si="6"/>
        <v>ListHeadlh</v>
      </c>
    </row>
    <row r="258" spans="1:90">
      <c r="A258" s="79" t="str">
        <f t="shared" si="7"/>
        <v>List Num (nl)</v>
      </c>
      <c r="B258" s="5"/>
      <c r="C258" s="5" t="s">
        <v>746</v>
      </c>
      <c r="D258" s="5" t="s">
        <v>1204</v>
      </c>
      <c r="E258" s="5" t="s">
        <v>224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1469</v>
      </c>
      <c r="BO258" s="8" t="s">
        <v>1470</v>
      </c>
      <c r="CE258" s="8" t="b">
        <v>1</v>
      </c>
      <c r="CL258" s="80" t="str">
        <f t="shared" si="6"/>
        <v>ListNumnl</v>
      </c>
    </row>
    <row r="259" spans="1:90">
      <c r="A259" s="79" t="str">
        <f t="shared" si="7"/>
        <v>List Num Subentry (nsl)</v>
      </c>
      <c r="B259" s="5"/>
      <c r="C259" s="5" t="s">
        <v>747</v>
      </c>
      <c r="D259" s="5" t="s">
        <v>1205</v>
      </c>
      <c r="E259" s="5" t="s">
        <v>225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1469</v>
      </c>
      <c r="BO259" s="8" t="s">
        <v>1470</v>
      </c>
      <c r="CG259" s="8" t="b">
        <v>1</v>
      </c>
      <c r="CL259" s="80" t="str">
        <f t="shared" si="6"/>
        <v>ListNumSubentrynsl</v>
      </c>
    </row>
    <row r="260" spans="1:90">
      <c r="A260" s="79" t="str">
        <f t="shared" si="7"/>
        <v>List Unnum (ul)</v>
      </c>
      <c r="B260" s="5"/>
      <c r="C260" s="5" t="s">
        <v>748</v>
      </c>
      <c r="D260" s="5" t="s">
        <v>1206</v>
      </c>
      <c r="E260" s="5" t="s">
        <v>226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L260" s="80" t="str">
        <f t="shared" ref="CL260:CL321" si="8">SUBSTITUTE(SUBSTITUTE(SUBSTITUTE(SUBSTITUTE(A260, "(",""),")","")," ",""),"#","")</f>
        <v>ListUnnumul</v>
      </c>
    </row>
    <row r="261" spans="1:90">
      <c r="A261" s="79" t="str">
        <f t="shared" ref="A261:A322" si="9">IF($D261="","",TRIM($C261)&amp;" "&amp;CHAR(40)&amp;TRIM($D261)&amp;CHAR(41))</f>
        <v>List Unnum Subentry (usl)</v>
      </c>
      <c r="B261" s="5"/>
      <c r="C261" s="5" t="s">
        <v>749</v>
      </c>
      <c r="D261" s="5" t="s">
        <v>1207</v>
      </c>
      <c r="E261" s="5" t="s">
        <v>227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L261" s="80" t="str">
        <f t="shared" si="8"/>
        <v>ListUnnumSubentryusl</v>
      </c>
    </row>
    <row r="262" spans="1:90">
      <c r="A262" s="79" t="str">
        <f t="shared" si="9"/>
        <v>Menu (menu)</v>
      </c>
      <c r="B262" s="5"/>
      <c r="C262" s="5" t="s">
        <v>750</v>
      </c>
      <c r="D262" s="5" t="s">
        <v>1208</v>
      </c>
      <c r="E262" s="5" t="s">
        <v>228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6" t="s">
        <v>370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L262" s="80" t="str">
        <f t="shared" si="8"/>
        <v>Menumenu</v>
      </c>
    </row>
    <row r="263" spans="1:90">
      <c r="A263" s="79" t="str">
        <f t="shared" si="9"/>
        <v>Note Level-1 Subhead (n1)</v>
      </c>
      <c r="B263" s="5"/>
      <c r="C263" s="5" t="s">
        <v>751</v>
      </c>
      <c r="D263" s="5" t="s">
        <v>1209</v>
      </c>
      <c r="E263" s="5" t="s">
        <v>156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4" t="s">
        <v>157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L263" s="80" t="str">
        <f t="shared" si="8"/>
        <v>NoteLevel-1Subheadn1</v>
      </c>
    </row>
    <row r="264" spans="1:90">
      <c r="A264" s="79" t="str">
        <f t="shared" si="9"/>
        <v>Note Level-2 Subhead (n2)</v>
      </c>
      <c r="B264" s="5"/>
      <c r="C264" s="5" t="s">
        <v>752</v>
      </c>
      <c r="D264" s="5" t="s">
        <v>1210</v>
      </c>
      <c r="E264" s="5" t="s">
        <v>156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4" t="s">
        <v>157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L264" s="80" t="str">
        <f t="shared" si="8"/>
        <v>NoteLevel-2Subheadn2</v>
      </c>
    </row>
    <row r="265" spans="1:90">
      <c r="A265" s="79" t="str">
        <f t="shared" si="9"/>
        <v>Note Level-3 Subhead (n3)</v>
      </c>
      <c r="B265" s="5"/>
      <c r="C265" s="5" t="s">
        <v>753</v>
      </c>
      <c r="D265" s="5" t="s">
        <v>1211</v>
      </c>
      <c r="E265" s="5" t="s">
        <v>156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4" t="s">
        <v>157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L265" s="80" t="str">
        <f t="shared" si="8"/>
        <v>NoteLevel-3Subheadn3</v>
      </c>
    </row>
    <row r="266" spans="1:90">
      <c r="A266" s="79" t="str">
        <f t="shared" si="9"/>
        <v>Note Level-4 Subhead (n4)</v>
      </c>
      <c r="B266" s="5"/>
      <c r="C266" s="5" t="s">
        <v>754</v>
      </c>
      <c r="D266" s="5" t="s">
        <v>1212</v>
      </c>
      <c r="E266" s="5" t="s">
        <v>156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4" t="s">
        <v>157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L266" s="80" t="str">
        <f t="shared" si="8"/>
        <v>NoteLevel-4Subheadn4</v>
      </c>
    </row>
    <row r="267" spans="1:90">
      <c r="A267" s="79" t="str">
        <f t="shared" si="9"/>
        <v>Note Level-5 Subhead (n5)</v>
      </c>
      <c r="B267" s="5"/>
      <c r="C267" s="5" t="s">
        <v>755</v>
      </c>
      <c r="D267" s="5" t="s">
        <v>1213</v>
      </c>
      <c r="E267" s="5" t="s">
        <v>156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4" t="s">
        <v>157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L267" s="80" t="str">
        <f t="shared" si="8"/>
        <v>NoteLevel-5Subheadn5</v>
      </c>
    </row>
    <row r="268" spans="1:90">
      <c r="A268" s="79" t="str">
        <f t="shared" si="9"/>
        <v>Numbered Paragraphs (np)</v>
      </c>
      <c r="B268" s="5"/>
      <c r="C268" s="5" t="s">
        <v>756</v>
      </c>
      <c r="D268" s="5" t="s">
        <v>1214</v>
      </c>
      <c r="E268" s="5" t="s">
        <v>229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L268" s="80" t="str">
        <f t="shared" si="8"/>
        <v>NumberedParagraphsnp</v>
      </c>
    </row>
    <row r="269" spans="1:90">
      <c r="A269" s="79" t="str">
        <f t="shared" si="9"/>
        <v>Page Break (pb)</v>
      </c>
      <c r="B269" s="5"/>
      <c r="C269" s="5" t="s">
        <v>757</v>
      </c>
      <c r="D269" s="5" t="s">
        <v>1215</v>
      </c>
      <c r="E269" s="5" t="s">
        <v>1455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3" t="s">
        <v>464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5" t="s">
        <v>374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374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L269" s="80" t="str">
        <f t="shared" si="8"/>
        <v>PageBreakpb</v>
      </c>
    </row>
    <row r="270" spans="1:90">
      <c r="A270" s="79" t="str">
        <f t="shared" si="9"/>
        <v>Part Contents Head (pch)</v>
      </c>
      <c r="B270" s="5"/>
      <c r="C270" s="5" t="s">
        <v>758</v>
      </c>
      <c r="D270" s="5" t="s">
        <v>1216</v>
      </c>
      <c r="E270" s="5" t="s">
        <v>230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8" t="s">
        <v>137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L270" s="80" t="str">
        <f t="shared" si="8"/>
        <v>PartContentsHeadpch</v>
      </c>
    </row>
    <row r="271" spans="1:90">
      <c r="A271" s="79" t="str">
        <f t="shared" si="9"/>
        <v>Part Contents Main Head (pcmh)</v>
      </c>
      <c r="B271" s="5"/>
      <c r="C271" s="5" t="s">
        <v>759</v>
      </c>
      <c r="D271" s="5" t="s">
        <v>1217</v>
      </c>
      <c r="E271" s="5" t="s">
        <v>230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8" t="s">
        <v>137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L271" s="80" t="str">
        <f t="shared" si="8"/>
        <v>PartContentsMainHeadpcmh</v>
      </c>
    </row>
    <row r="272" spans="1:90">
      <c r="A272" s="79" t="str">
        <f t="shared" si="9"/>
        <v>Part Epigraph - non-verse (pepi)</v>
      </c>
      <c r="B272" s="5"/>
      <c r="C272" s="5" t="s">
        <v>760</v>
      </c>
      <c r="D272" s="5" t="s">
        <v>1218</v>
      </c>
      <c r="E272" s="5" t="s">
        <v>231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8" t="s">
        <v>137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1471</v>
      </c>
      <c r="BQ272" s="8" t="s">
        <v>1476</v>
      </c>
      <c r="BV272" s="8" t="b">
        <v>1</v>
      </c>
      <c r="CL272" s="80" t="str">
        <f t="shared" si="8"/>
        <v>PartEpigraph-non-versepepi</v>
      </c>
    </row>
    <row r="273" spans="1:90">
      <c r="A273" s="79" t="str">
        <f t="shared" si="9"/>
        <v>Part Epigraph - verse (pepiv)</v>
      </c>
      <c r="B273" s="5"/>
      <c r="C273" s="5" t="s">
        <v>761</v>
      </c>
      <c r="D273" s="5" t="s">
        <v>1219</v>
      </c>
      <c r="E273" s="5" t="s">
        <v>232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8" t="s">
        <v>137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1471</v>
      </c>
      <c r="BQ273" s="8" t="s">
        <v>1476</v>
      </c>
      <c r="BV273" s="8" t="b">
        <v>1</v>
      </c>
      <c r="CL273" s="80" t="str">
        <f t="shared" si="8"/>
        <v>PartEpigraph-versepepiv</v>
      </c>
    </row>
    <row r="274" spans="1:90">
      <c r="A274" s="79" t="str">
        <f t="shared" si="9"/>
        <v>Part Epigraph Source (peps)</v>
      </c>
      <c r="B274" s="5"/>
      <c r="C274" s="5" t="s">
        <v>762</v>
      </c>
      <c r="D274" s="5" t="s">
        <v>1220</v>
      </c>
      <c r="E274" s="5" t="s">
        <v>235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8" t="s">
        <v>137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1471</v>
      </c>
      <c r="BQ274" s="8" t="s">
        <v>1476</v>
      </c>
      <c r="BV274" s="8" t="b">
        <v>1</v>
      </c>
      <c r="CL274" s="80" t="str">
        <f t="shared" si="8"/>
        <v>PartEpigraphSourcepeps</v>
      </c>
    </row>
    <row r="275" spans="1:90">
      <c r="A275" s="79" t="str">
        <f t="shared" si="9"/>
        <v>Part Number (pn)</v>
      </c>
      <c r="B275" s="5"/>
      <c r="C275" s="5" t="s">
        <v>763</v>
      </c>
      <c r="D275" s="5" t="s">
        <v>1221</v>
      </c>
      <c r="E275" s="5" t="s">
        <v>236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8" t="s">
        <v>137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1171</v>
      </c>
      <c r="BT275" s="8" t="b">
        <v>1</v>
      </c>
      <c r="CL275" s="80" t="str">
        <f t="shared" si="8"/>
        <v>PartNumberpn</v>
      </c>
    </row>
    <row r="276" spans="1:90">
      <c r="A276" s="79" t="str">
        <f t="shared" si="9"/>
        <v>Part Opening Text (potx)</v>
      </c>
      <c r="B276" s="5"/>
      <c r="C276" s="5" t="s">
        <v>764</v>
      </c>
      <c r="D276" s="5" t="s">
        <v>1222</v>
      </c>
      <c r="E276" s="5" t="s">
        <v>233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8" t="s">
        <v>137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L276" s="80" t="str">
        <f t="shared" si="8"/>
        <v>PartOpeningTextpotx</v>
      </c>
    </row>
    <row r="277" spans="1:90">
      <c r="A277" s="79" t="str">
        <f t="shared" si="9"/>
        <v>Part Opening Text No-Indent (potx1)</v>
      </c>
      <c r="B277" s="5"/>
      <c r="C277" s="5" t="s">
        <v>765</v>
      </c>
      <c r="D277" s="5" t="s">
        <v>1223</v>
      </c>
      <c r="E277" s="5" t="s">
        <v>233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8" t="s">
        <v>137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L277" s="80" t="str">
        <f t="shared" si="8"/>
        <v>PartOpeningTextNo-Indentpotx1</v>
      </c>
    </row>
    <row r="278" spans="1:90">
      <c r="A278" s="79" t="str">
        <f t="shared" si="9"/>
        <v>Part Ornament (porn)</v>
      </c>
      <c r="B278" s="5"/>
      <c r="C278" s="5" t="s">
        <v>766</v>
      </c>
      <c r="D278" s="5" t="s">
        <v>1224</v>
      </c>
      <c r="E278" s="5" t="s">
        <v>233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8" t="s">
        <v>137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5" t="s">
        <v>374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L278" s="80" t="str">
        <f t="shared" si="8"/>
        <v>PartOrnamentporn</v>
      </c>
    </row>
    <row r="279" spans="1:90">
      <c r="A279" s="79" t="str">
        <f t="shared" si="9"/>
        <v>Part Ornament ALT (porn2)</v>
      </c>
      <c r="B279" s="5"/>
      <c r="C279" s="5" t="s">
        <v>767</v>
      </c>
      <c r="D279" s="5" t="s">
        <v>1225</v>
      </c>
      <c r="E279" s="5" t="s">
        <v>233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8" t="s">
        <v>137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374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L279" s="80" t="str">
        <f t="shared" si="8"/>
        <v>PartOrnamentALTporn2</v>
      </c>
    </row>
    <row r="280" spans="1:90">
      <c r="A280" s="79" t="str">
        <f t="shared" si="9"/>
        <v>Part Subtitle (pst)</v>
      </c>
      <c r="B280" s="5"/>
      <c r="C280" s="5" t="s">
        <v>768</v>
      </c>
      <c r="D280" s="5" t="s">
        <v>1226</v>
      </c>
      <c r="E280" s="5" t="s">
        <v>233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8" t="s">
        <v>137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L280" s="80" t="str">
        <f t="shared" si="8"/>
        <v>PartSubtitlepst</v>
      </c>
    </row>
    <row r="281" spans="1:90">
      <c r="A281" s="79" t="str">
        <f t="shared" si="9"/>
        <v>Part Title (pt)</v>
      </c>
      <c r="B281" s="5"/>
      <c r="C281" s="5" t="s">
        <v>769</v>
      </c>
      <c r="D281" s="5" t="s">
        <v>1227</v>
      </c>
      <c r="E281" s="5" t="s">
        <v>233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8" t="s">
        <v>137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1171</v>
      </c>
      <c r="BT281" s="8" t="b">
        <v>1</v>
      </c>
      <c r="CL281" s="80" t="str">
        <f t="shared" si="8"/>
        <v>PartTitlept</v>
      </c>
    </row>
    <row r="282" spans="1:90">
      <c r="A282" s="79" t="str">
        <f t="shared" si="9"/>
        <v>Permission Acks Text (pmtx)</v>
      </c>
      <c r="B282" s="5"/>
      <c r="C282" s="5" t="s">
        <v>770</v>
      </c>
      <c r="D282" s="5" t="s">
        <v>1228</v>
      </c>
      <c r="E282" s="5" t="s">
        <v>237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L282" s="80" t="str">
        <f t="shared" si="8"/>
        <v>PermissionAcksTextpmtx</v>
      </c>
    </row>
    <row r="283" spans="1:90">
      <c r="A283" s="79" t="str">
        <f t="shared" si="9"/>
        <v>Permission Acks Text No-Indent (pmtx1)</v>
      </c>
      <c r="B283" s="5"/>
      <c r="C283" s="5" t="s">
        <v>771</v>
      </c>
      <c r="D283" s="5" t="s">
        <v>1229</v>
      </c>
      <c r="E283" s="5" t="s">
        <v>237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L283" s="80" t="str">
        <f t="shared" si="8"/>
        <v>PermissionAcksTextNo-Indentpmtx1</v>
      </c>
    </row>
    <row r="284" spans="1:90">
      <c r="A284" s="79" t="str">
        <f t="shared" si="9"/>
        <v>Poem Dateline (vdl)</v>
      </c>
      <c r="B284" s="5"/>
      <c r="C284" s="5" t="s">
        <v>772</v>
      </c>
      <c r="D284" s="5" t="s">
        <v>1230</v>
      </c>
      <c r="E284" s="5" t="s">
        <v>333</v>
      </c>
      <c r="F284" s="5">
        <v>1</v>
      </c>
      <c r="G284" s="5" t="b">
        <v>0</v>
      </c>
      <c r="H284" s="5">
        <v>1</v>
      </c>
      <c r="I284" s="5" t="s">
        <v>144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6" t="s">
        <v>238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L284" s="80" t="str">
        <f t="shared" si="8"/>
        <v>PoemDatelinevdl</v>
      </c>
    </row>
    <row r="285" spans="1:90">
      <c r="A285" s="79" t="str">
        <f t="shared" si="9"/>
        <v>Poem Dedication (vded)</v>
      </c>
      <c r="B285" s="5"/>
      <c r="C285" s="5" t="s">
        <v>773</v>
      </c>
      <c r="D285" s="5" t="s">
        <v>1231</v>
      </c>
      <c r="E285" s="5" t="s">
        <v>333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6" t="s">
        <v>238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L285" s="80" t="str">
        <f t="shared" si="8"/>
        <v>PoemDedicationvded</v>
      </c>
    </row>
    <row r="286" spans="1:90">
      <c r="A286" s="79" t="str">
        <f t="shared" si="9"/>
        <v>Poem Epigraph - non-verse (vepi)</v>
      </c>
      <c r="B286" s="5"/>
      <c r="C286" s="5" t="s">
        <v>774</v>
      </c>
      <c r="D286" s="5" t="s">
        <v>1232</v>
      </c>
      <c r="E286" s="5" t="s">
        <v>239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6" t="s">
        <v>238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L286" s="80" t="str">
        <f t="shared" si="8"/>
        <v>PoemEpigraph-non-versevepi</v>
      </c>
    </row>
    <row r="287" spans="1:90">
      <c r="A287" s="79" t="str">
        <f t="shared" si="9"/>
        <v>Poem Epigraph - verse (vepiv)</v>
      </c>
      <c r="B287" s="5"/>
      <c r="C287" s="5" t="s">
        <v>775</v>
      </c>
      <c r="D287" s="5" t="s">
        <v>1233</v>
      </c>
      <c r="E287" s="5" t="s">
        <v>240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6" t="s">
        <v>238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L287" s="80" t="str">
        <f t="shared" si="8"/>
        <v>PoemEpigraph-versevepiv</v>
      </c>
    </row>
    <row r="288" spans="1:90">
      <c r="A288" s="79" t="str">
        <f t="shared" si="9"/>
        <v>Poem Epigraph Source (veps)</v>
      </c>
      <c r="B288" s="5"/>
      <c r="C288" s="5" t="s">
        <v>776</v>
      </c>
      <c r="D288" s="5" t="s">
        <v>1234</v>
      </c>
      <c r="E288" s="5" t="s">
        <v>333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6" t="s">
        <v>238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L288" s="80" t="str">
        <f t="shared" si="8"/>
        <v>PoemEpigraphSourceveps</v>
      </c>
    </row>
    <row r="289" spans="1:90">
      <c r="A289" s="79" t="str">
        <f t="shared" si="9"/>
        <v>Poem Level-1 Subhead (vh1)</v>
      </c>
      <c r="B289" s="5"/>
      <c r="C289" s="5" t="s">
        <v>777</v>
      </c>
      <c r="D289" s="5" t="s">
        <v>1235</v>
      </c>
      <c r="E289" s="5" t="s">
        <v>333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6" t="s">
        <v>238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1323</v>
      </c>
      <c r="BR289" s="8" t="s">
        <v>1479</v>
      </c>
      <c r="BW289" s="8" t="b">
        <v>1</v>
      </c>
      <c r="CL289" s="80" t="str">
        <f t="shared" si="8"/>
        <v>PoemLevel-1Subheadvh1</v>
      </c>
    </row>
    <row r="290" spans="1:90">
      <c r="A290" s="79" t="str">
        <f t="shared" si="9"/>
        <v>Poem Level-2 Subhead (vh2)</v>
      </c>
      <c r="B290" s="5"/>
      <c r="C290" s="5" t="s">
        <v>778</v>
      </c>
      <c r="D290" s="5" t="s">
        <v>1236</v>
      </c>
      <c r="E290" s="5" t="s">
        <v>333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6" t="s">
        <v>238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1323</v>
      </c>
      <c r="BR290" s="8" t="s">
        <v>1479</v>
      </c>
      <c r="BW290" s="8" t="b">
        <v>1</v>
      </c>
      <c r="CL290" s="80" t="str">
        <f t="shared" si="8"/>
        <v>PoemLevel-2Subheadvh2</v>
      </c>
    </row>
    <row r="291" spans="1:90">
      <c r="A291" s="79" t="str">
        <f t="shared" si="9"/>
        <v>Poem Level-3 Subhead (vh3)</v>
      </c>
      <c r="B291" s="5"/>
      <c r="C291" s="5" t="s">
        <v>779</v>
      </c>
      <c r="D291" s="5" t="s">
        <v>1237</v>
      </c>
      <c r="E291" s="5" t="s">
        <v>333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6" t="s">
        <v>238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1323</v>
      </c>
      <c r="BR291" s="8" t="s">
        <v>1479</v>
      </c>
      <c r="BW291" s="8" t="b">
        <v>1</v>
      </c>
      <c r="CL291" s="80" t="str">
        <f t="shared" si="8"/>
        <v>PoemLevel-3Subheadvh3</v>
      </c>
    </row>
    <row r="292" spans="1:90">
      <c r="A292" s="79" t="str">
        <f t="shared" si="9"/>
        <v>Poem Level-4 Subhead (vh4)</v>
      </c>
      <c r="B292" s="5"/>
      <c r="C292" s="5" t="s">
        <v>780</v>
      </c>
      <c r="D292" s="5" t="s">
        <v>1238</v>
      </c>
      <c r="E292" s="5" t="s">
        <v>333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6" t="s">
        <v>238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1323</v>
      </c>
      <c r="BR292" s="8" t="s">
        <v>1479</v>
      </c>
      <c r="BW292" s="8" t="b">
        <v>1</v>
      </c>
      <c r="CL292" s="80" t="str">
        <f t="shared" si="8"/>
        <v>PoemLevel-4Subheadvh4</v>
      </c>
    </row>
    <row r="293" spans="1:90">
      <c r="A293" s="79" t="str">
        <f t="shared" si="9"/>
        <v>Poem Level-5 Subhead (vh5)</v>
      </c>
      <c r="B293" s="5"/>
      <c r="C293" s="5" t="s">
        <v>781</v>
      </c>
      <c r="D293" s="5" t="s">
        <v>1239</v>
      </c>
      <c r="E293" s="5" t="s">
        <v>333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6" t="s">
        <v>238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1323</v>
      </c>
      <c r="BR293" s="8" t="s">
        <v>1479</v>
      </c>
      <c r="BW293" s="8" t="b">
        <v>1</v>
      </c>
      <c r="CL293" s="80" t="str">
        <f t="shared" si="8"/>
        <v>PoemLevel-5Subheadvh5</v>
      </c>
    </row>
    <row r="294" spans="1:90">
      <c r="A294" s="79" t="str">
        <f t="shared" si="9"/>
        <v>Poem Numeric Subheads (vhn)</v>
      </c>
      <c r="B294" s="5"/>
      <c r="C294" s="5" t="s">
        <v>782</v>
      </c>
      <c r="D294" s="5" t="s">
        <v>1240</v>
      </c>
      <c r="E294" s="5" t="s">
        <v>333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6" t="s">
        <v>238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L294" s="80" t="str">
        <f t="shared" si="8"/>
        <v>PoemNumericSubheadsvhn</v>
      </c>
    </row>
    <row r="295" spans="1:90">
      <c r="A295" s="79" t="str">
        <f t="shared" si="9"/>
        <v>Poem Subtitle (vst)</v>
      </c>
      <c r="B295" s="5"/>
      <c r="C295" s="5" t="s">
        <v>783</v>
      </c>
      <c r="D295" s="5" t="s">
        <v>1241</v>
      </c>
      <c r="E295" s="5" t="s">
        <v>333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6" t="s">
        <v>238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1323</v>
      </c>
      <c r="BR295" s="8" t="s">
        <v>1479</v>
      </c>
      <c r="BW295" s="8" t="b">
        <v>1</v>
      </c>
      <c r="CL295" s="80" t="str">
        <f t="shared" si="8"/>
        <v>PoemSubtitlevst</v>
      </c>
    </row>
    <row r="296" spans="1:90">
      <c r="A296" s="79" t="str">
        <f t="shared" si="9"/>
        <v>Poem Title (vt)</v>
      </c>
      <c r="B296" s="5"/>
      <c r="C296" s="5" t="s">
        <v>784</v>
      </c>
      <c r="D296" s="5" t="s">
        <v>1242</v>
      </c>
      <c r="E296" s="5" t="s">
        <v>333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6" t="s">
        <v>238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1323</v>
      </c>
      <c r="BR296" s="8" t="s">
        <v>1479</v>
      </c>
      <c r="BW296" s="8" t="b">
        <v>1</v>
      </c>
      <c r="CL296" s="80" t="str">
        <f t="shared" si="8"/>
        <v>PoemTitlevt</v>
      </c>
    </row>
    <row r="297" spans="1:90">
      <c r="A297" s="79" t="str">
        <f t="shared" si="9"/>
        <v>Recipe Garnish (rg)</v>
      </c>
      <c r="B297" s="5"/>
      <c r="C297" s="5" t="s">
        <v>785</v>
      </c>
      <c r="D297" s="5" t="s">
        <v>1243</v>
      </c>
      <c r="E297" s="5" t="s">
        <v>241</v>
      </c>
      <c r="F297" s="5">
        <v>1</v>
      </c>
      <c r="G297" s="5" t="b">
        <v>0</v>
      </c>
      <c r="H297" s="5">
        <v>1</v>
      </c>
      <c r="I297" s="5" t="s">
        <v>144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6" t="s">
        <v>370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L297" s="80" t="str">
        <f t="shared" si="8"/>
        <v>RecipeGarnishrg</v>
      </c>
    </row>
    <row r="298" spans="1:90">
      <c r="A298" s="79" t="str">
        <f t="shared" si="9"/>
        <v>Recipe Head (rh)</v>
      </c>
      <c r="B298" s="5"/>
      <c r="C298" s="5" t="s">
        <v>786</v>
      </c>
      <c r="D298" s="5" t="s">
        <v>1244</v>
      </c>
      <c r="E298" s="5" t="s">
        <v>242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5" t="s">
        <v>207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L298" s="80" t="str">
        <f t="shared" si="8"/>
        <v>RecipeHeadrh</v>
      </c>
    </row>
    <row r="299" spans="1:90">
      <c r="A299" s="79" t="str">
        <f t="shared" si="9"/>
        <v>Recipe Headnote (rhn)</v>
      </c>
      <c r="B299" s="5"/>
      <c r="C299" s="5" t="s">
        <v>787</v>
      </c>
      <c r="D299" s="5" t="s">
        <v>1245</v>
      </c>
      <c r="E299" s="5" t="s">
        <v>242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5" t="s">
        <v>207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L299" s="80" t="str">
        <f t="shared" si="8"/>
        <v>RecipeHeadnoterhn</v>
      </c>
    </row>
    <row r="300" spans="1:90">
      <c r="A300" s="79" t="str">
        <f t="shared" si="9"/>
        <v>Recipe Level-1 Subhead (rh1)</v>
      </c>
      <c r="B300" s="5"/>
      <c r="C300" s="5" t="s">
        <v>788</v>
      </c>
      <c r="D300" s="5" t="s">
        <v>1246</v>
      </c>
      <c r="E300" s="5" t="s">
        <v>246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5" t="s">
        <v>207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L300" s="80" t="str">
        <f t="shared" si="8"/>
        <v>RecipeLevel-1Subheadrh1</v>
      </c>
    </row>
    <row r="301" spans="1:90">
      <c r="A301" s="79" t="str">
        <f t="shared" si="9"/>
        <v>Recipe Level-2 Subhead (rh2)</v>
      </c>
      <c r="B301" s="5"/>
      <c r="C301" s="5" t="s">
        <v>789</v>
      </c>
      <c r="D301" s="5" t="s">
        <v>1247</v>
      </c>
      <c r="E301" s="5" t="s">
        <v>246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5" t="s">
        <v>207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L301" s="80" t="str">
        <f t="shared" si="8"/>
        <v>RecipeLevel-2Subheadrh2</v>
      </c>
    </row>
    <row r="302" spans="1:90">
      <c r="A302" s="79" t="str">
        <f t="shared" si="9"/>
        <v>Recipe Level-3 Subhead (rh3)</v>
      </c>
      <c r="B302" s="5"/>
      <c r="C302" s="5" t="s">
        <v>790</v>
      </c>
      <c r="D302" s="5" t="s">
        <v>1248</v>
      </c>
      <c r="E302" s="5" t="s">
        <v>246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5" t="s">
        <v>207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L302" s="80" t="str">
        <f t="shared" si="8"/>
        <v>RecipeLevel-3Subheadrh3</v>
      </c>
    </row>
    <row r="303" spans="1:90">
      <c r="A303" s="79" t="str">
        <f t="shared" si="9"/>
        <v>Recipe Level-4 Subhead (rh4)</v>
      </c>
      <c r="B303" s="5"/>
      <c r="C303" s="5" t="s">
        <v>791</v>
      </c>
      <c r="D303" s="5" t="s">
        <v>1249</v>
      </c>
      <c r="E303" s="5" t="s">
        <v>246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5" t="s">
        <v>207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L303" s="80" t="str">
        <f t="shared" si="8"/>
        <v>RecipeLevel-4Subheadrh4</v>
      </c>
    </row>
    <row r="304" spans="1:90">
      <c r="A304" s="79" t="str">
        <f t="shared" si="9"/>
        <v>Recipe Level-5 Subhead (rh5)</v>
      </c>
      <c r="B304" s="5"/>
      <c r="C304" s="5" t="s">
        <v>792</v>
      </c>
      <c r="D304" s="5" t="s">
        <v>1250</v>
      </c>
      <c r="E304" s="5" t="s">
        <v>246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5" t="s">
        <v>207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L304" s="80" t="str">
        <f t="shared" si="8"/>
        <v>RecipeLevel-5Subheadrh5</v>
      </c>
    </row>
    <row r="305" spans="1:90">
      <c r="A305" s="79" t="str">
        <f t="shared" si="9"/>
        <v>Recipe Note Head (rnh)</v>
      </c>
      <c r="B305" s="5"/>
      <c r="C305" s="5" t="s">
        <v>793</v>
      </c>
      <c r="D305" s="5" t="s">
        <v>1251</v>
      </c>
      <c r="E305" s="5" t="s">
        <v>244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6" t="s">
        <v>370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L305" s="80" t="str">
        <f t="shared" si="8"/>
        <v>RecipeNoteHeadrnh</v>
      </c>
    </row>
    <row r="306" spans="1:90">
      <c r="A306" s="79" t="str">
        <f t="shared" si="9"/>
        <v>Recipe Note Text (rntx)</v>
      </c>
      <c r="B306" s="5"/>
      <c r="C306" s="5" t="s">
        <v>794</v>
      </c>
      <c r="D306" s="5" t="s">
        <v>1252</v>
      </c>
      <c r="E306" s="5" t="s">
        <v>243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6" t="s">
        <v>370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L306" s="80" t="str">
        <f t="shared" si="8"/>
        <v>RecipeNoteTextrntx</v>
      </c>
    </row>
    <row r="307" spans="1:90">
      <c r="A307" s="79" t="str">
        <f t="shared" si="9"/>
        <v>Recipe Note Text No-Indent (rntx1)</v>
      </c>
      <c r="B307" s="5"/>
      <c r="C307" s="5" t="s">
        <v>795</v>
      </c>
      <c r="D307" s="5" t="s">
        <v>1253</v>
      </c>
      <c r="E307" s="5" t="s">
        <v>243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6" t="s">
        <v>370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L307" s="80" t="str">
        <f t="shared" si="8"/>
        <v>RecipeNoteTextNo-Indentrntx1</v>
      </c>
    </row>
    <row r="308" spans="1:90">
      <c r="A308" s="79" t="str">
        <f t="shared" si="9"/>
        <v>Recipe Nutrition Info (rni)</v>
      </c>
      <c r="B308" s="5"/>
      <c r="C308" s="5" t="s">
        <v>796</v>
      </c>
      <c r="D308" s="5" t="s">
        <v>1254</v>
      </c>
      <c r="E308" s="5" t="s">
        <v>245</v>
      </c>
      <c r="F308" s="5">
        <v>1</v>
      </c>
      <c r="G308" s="5" t="b">
        <v>0</v>
      </c>
      <c r="H308" s="5">
        <v>1</v>
      </c>
      <c r="I308" s="5" t="s">
        <v>144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6" t="s">
        <v>370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L308" s="80" t="str">
        <f t="shared" si="8"/>
        <v>RecipeNutritionInforni</v>
      </c>
    </row>
    <row r="309" spans="1:90">
      <c r="A309" s="79" t="str">
        <f t="shared" si="9"/>
        <v>Recipe Procedures (rp)</v>
      </c>
      <c r="B309" s="5"/>
      <c r="C309" s="5" t="s">
        <v>797</v>
      </c>
      <c r="D309" s="5" t="s">
        <v>1255</v>
      </c>
      <c r="E309" s="5" t="s">
        <v>246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5" t="s">
        <v>207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L309" s="80" t="str">
        <f t="shared" si="8"/>
        <v>RecipeProceduresrp</v>
      </c>
    </row>
    <row r="310" spans="1:90">
      <c r="A310" s="79" t="str">
        <f t="shared" si="9"/>
        <v>Recipe Subhead (rsh)</v>
      </c>
      <c r="B310" s="5"/>
      <c r="C310" s="5" t="s">
        <v>798</v>
      </c>
      <c r="D310" s="5" t="s">
        <v>1256</v>
      </c>
      <c r="E310" s="5" t="s">
        <v>246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5" t="s">
        <v>207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L310" s="80" t="str">
        <f t="shared" si="8"/>
        <v>RecipeSubheadrsh</v>
      </c>
    </row>
    <row r="311" spans="1:90">
      <c r="A311" s="79" t="str">
        <f t="shared" si="9"/>
        <v>Recipe Time (rt)</v>
      </c>
      <c r="B311" s="5"/>
      <c r="C311" s="5" t="s">
        <v>799</v>
      </c>
      <c r="D311" s="5" t="s">
        <v>1257</v>
      </c>
      <c r="E311" s="5" t="s">
        <v>247</v>
      </c>
      <c r="F311" s="5">
        <v>1</v>
      </c>
      <c r="G311" s="5" t="b">
        <v>0</v>
      </c>
      <c r="H311" s="5">
        <v>1</v>
      </c>
      <c r="I311" s="5" t="s">
        <v>144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5" t="s">
        <v>207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L311" s="80" t="str">
        <f t="shared" si="8"/>
        <v>RecipeTimert</v>
      </c>
    </row>
    <row r="312" spans="1:90">
      <c r="A312" s="79" t="str">
        <f t="shared" si="9"/>
        <v>Recipe Var Head (rvh)</v>
      </c>
      <c r="B312" s="5"/>
      <c r="C312" s="5" t="s">
        <v>800</v>
      </c>
      <c r="D312" s="5" t="s">
        <v>1258</v>
      </c>
      <c r="E312" s="5" t="s">
        <v>249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6" t="s">
        <v>370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L312" s="80" t="str">
        <f t="shared" si="8"/>
        <v>RecipeVarHeadrvh</v>
      </c>
    </row>
    <row r="313" spans="1:90">
      <c r="A313" s="79" t="str">
        <f t="shared" si="9"/>
        <v>Recipe Var Text (rvtx)</v>
      </c>
      <c r="B313" s="5"/>
      <c r="C313" s="5" t="s">
        <v>801</v>
      </c>
      <c r="D313" s="5" t="s">
        <v>1259</v>
      </c>
      <c r="E313" s="5" t="s">
        <v>248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6" t="s">
        <v>370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L313" s="80" t="str">
        <f t="shared" si="8"/>
        <v>RecipeVarTextrvtx</v>
      </c>
    </row>
    <row r="314" spans="1:90">
      <c r="A314" s="79" t="str">
        <f t="shared" si="9"/>
        <v>Recipe Var Text No-Indent (rvtx1)</v>
      </c>
      <c r="B314" s="5"/>
      <c r="C314" s="5" t="s">
        <v>802</v>
      </c>
      <c r="D314" s="5" t="s">
        <v>1260</v>
      </c>
      <c r="E314" s="5" t="s">
        <v>248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6" t="s">
        <v>370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L314" s="80" t="str">
        <f t="shared" si="8"/>
        <v>RecipeVarTextNo-Indentrvtx1</v>
      </c>
    </row>
    <row r="315" spans="1:90">
      <c r="A315" s="79" t="str">
        <f t="shared" si="9"/>
        <v>Recipe Yield (ry)</v>
      </c>
      <c r="B315" s="5"/>
      <c r="C315" s="5" t="s">
        <v>803</v>
      </c>
      <c r="D315" s="5" t="s">
        <v>1261</v>
      </c>
      <c r="E315" s="5" t="s">
        <v>250</v>
      </c>
      <c r="F315" s="5">
        <v>1</v>
      </c>
      <c r="G315" s="5" t="b">
        <v>0</v>
      </c>
      <c r="H315" s="5">
        <v>1</v>
      </c>
      <c r="I315" s="5" t="s">
        <v>144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5" t="s">
        <v>207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L315" s="80" t="str">
        <f t="shared" si="8"/>
        <v>RecipeYieldry</v>
      </c>
    </row>
    <row r="316" spans="1:90">
      <c r="A316" s="79" t="str">
        <f t="shared" si="9"/>
        <v>Reference (see)</v>
      </c>
      <c r="B316" s="5"/>
      <c r="C316" s="5" t="s">
        <v>804</v>
      </c>
      <c r="D316" s="5" t="s">
        <v>1262</v>
      </c>
      <c r="E316" s="5" t="s">
        <v>251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2" t="s">
        <v>149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L316" s="80" t="str">
        <f t="shared" si="8"/>
        <v>Referencesee</v>
      </c>
    </row>
    <row r="317" spans="1:90">
      <c r="A317" s="79" t="str">
        <f t="shared" si="9"/>
        <v>Screenplay Dramatis Personae (dp)</v>
      </c>
      <c r="B317" s="5"/>
      <c r="C317" s="5" t="s">
        <v>805</v>
      </c>
      <c r="D317" s="5" t="s">
        <v>1263</v>
      </c>
      <c r="E317" s="5" t="s">
        <v>252</v>
      </c>
      <c r="F317" s="5">
        <v>1</v>
      </c>
      <c r="G317" s="5" t="b">
        <v>0</v>
      </c>
      <c r="H317" s="5">
        <v>1</v>
      </c>
      <c r="I317" s="5" t="s">
        <v>144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7" t="s">
        <v>360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L317" s="80" t="str">
        <f t="shared" si="8"/>
        <v>ScreenplayDramatisPersonaedp</v>
      </c>
    </row>
    <row r="318" spans="1:90">
      <c r="A318" s="79" t="str">
        <f t="shared" si="9"/>
        <v>Screenplay Extract (sp)</v>
      </c>
      <c r="B318" s="5"/>
      <c r="C318" s="5" t="s">
        <v>806</v>
      </c>
      <c r="D318" s="5" t="s">
        <v>1264</v>
      </c>
      <c r="E318" s="5" t="s">
        <v>253</v>
      </c>
      <c r="F318" s="5">
        <v>1</v>
      </c>
      <c r="G318" s="5" t="b">
        <v>0</v>
      </c>
      <c r="H318" s="5">
        <v>1</v>
      </c>
      <c r="I318" s="5" t="s">
        <v>144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7" t="s">
        <v>360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L318" s="80" t="str">
        <f t="shared" si="8"/>
        <v>ScreenplayExtractsp</v>
      </c>
    </row>
    <row r="319" spans="1:90">
      <c r="A319" s="79" t="str">
        <f t="shared" si="9"/>
        <v>Screenplay Head (sph)</v>
      </c>
      <c r="B319" s="5"/>
      <c r="C319" s="5" t="s">
        <v>807</v>
      </c>
      <c r="D319" s="5" t="s">
        <v>1265</v>
      </c>
      <c r="E319" s="5" t="s">
        <v>255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7" t="s">
        <v>360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L319" s="80" t="str">
        <f t="shared" si="8"/>
        <v>ScreenplayHeadsph</v>
      </c>
    </row>
    <row r="320" spans="1:90">
      <c r="A320" s="79" t="str">
        <f t="shared" si="9"/>
        <v>Screenplay Speaker (s)</v>
      </c>
      <c r="B320" s="5"/>
      <c r="C320" s="5" t="s">
        <v>808</v>
      </c>
      <c r="D320" s="5" t="s">
        <v>1266</v>
      </c>
      <c r="E320" s="5" t="s">
        <v>255</v>
      </c>
      <c r="F320" s="5">
        <v>1</v>
      </c>
      <c r="G320" s="5" t="b">
        <v>0</v>
      </c>
      <c r="H320" s="5">
        <v>1</v>
      </c>
      <c r="I320" s="5" t="s">
        <v>144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7" t="s">
        <v>360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L320" s="80" t="str">
        <f t="shared" si="8"/>
        <v>ScreenplaySpeakers</v>
      </c>
    </row>
    <row r="321" spans="1:90">
      <c r="A321" s="79" t="str">
        <f t="shared" si="9"/>
        <v>Screenplay Stage Directions (sd)</v>
      </c>
      <c r="B321" s="5"/>
      <c r="C321" s="5" t="s">
        <v>809</v>
      </c>
      <c r="D321" s="5" t="s">
        <v>1267</v>
      </c>
      <c r="E321" s="5" t="s">
        <v>255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7" t="s">
        <v>360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L321" s="80" t="str">
        <f t="shared" si="8"/>
        <v>ScreenplayStageDirectionssd</v>
      </c>
    </row>
    <row r="322" spans="1:90">
      <c r="A322" s="79" t="str">
        <f t="shared" si="9"/>
        <v>Screenplay Subhead (spsh)</v>
      </c>
      <c r="B322" s="5"/>
      <c r="C322" s="5" t="s">
        <v>810</v>
      </c>
      <c r="D322" s="5" t="s">
        <v>1268</v>
      </c>
      <c r="E322" s="5" t="s">
        <v>255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7" t="s">
        <v>360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L322" s="80" t="str">
        <f t="shared" ref="CL322:CL385" si="10">SUBSTITUTE(SUBSTITUTE(SUBSTITUTE(SUBSTITUTE(A322, "(",""),")","")," ",""),"#","")</f>
        <v>ScreenplaySubheadspsh</v>
      </c>
    </row>
    <row r="323" spans="1:90">
      <c r="A323" s="79" t="str">
        <f t="shared" ref="A323:A386" si="11">IF($D323="","",TRIM($C323)&amp;" "&amp;CHAR(40)&amp;TRIM($D323)&amp;CHAR(41))</f>
        <v>Screenplay Text (sptx)</v>
      </c>
      <c r="B323" s="5"/>
      <c r="C323" s="5" t="s">
        <v>811</v>
      </c>
      <c r="D323" s="5" t="s">
        <v>1269</v>
      </c>
      <c r="E323" s="5" t="s">
        <v>254</v>
      </c>
      <c r="F323" s="5">
        <v>1</v>
      </c>
      <c r="G323" s="5" t="b">
        <v>0</v>
      </c>
      <c r="H323" s="5">
        <v>1</v>
      </c>
      <c r="I323" s="5" t="s">
        <v>144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7" t="s">
        <v>360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L323" s="80" t="str">
        <f t="shared" si="10"/>
        <v>ScreenplayTextsptx</v>
      </c>
    </row>
    <row r="324" spans="1:90">
      <c r="A324" s="79" t="str">
        <f t="shared" si="11"/>
        <v>Screenplay Text No-Indent (sptx1)</v>
      </c>
      <c r="B324" s="5"/>
      <c r="C324" s="5" t="s">
        <v>812</v>
      </c>
      <c r="D324" s="5" t="s">
        <v>1270</v>
      </c>
      <c r="E324" s="5" t="s">
        <v>254</v>
      </c>
      <c r="F324" s="5">
        <v>1</v>
      </c>
      <c r="G324" s="5" t="b">
        <v>0</v>
      </c>
      <c r="H324" s="5">
        <v>1</v>
      </c>
      <c r="I324" s="5" t="s">
        <v>144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7" t="s">
        <v>360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L324" s="80" t="str">
        <f t="shared" si="10"/>
        <v>ScreenplayTextNo-Indentsptx1</v>
      </c>
    </row>
    <row r="325" spans="1:90">
      <c r="A325" s="79" t="str">
        <f t="shared" si="11"/>
        <v>Section-Front-Sales (sfs)</v>
      </c>
      <c r="B325" s="5"/>
      <c r="C325" s="5" t="s">
        <v>1448</v>
      </c>
      <c r="D325" s="5" t="s">
        <v>1449</v>
      </c>
      <c r="E325" s="5" t="s">
        <v>1460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81" t="s">
        <v>1459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18" t="s">
        <v>1456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1486</v>
      </c>
      <c r="CK325" s="8" t="s">
        <v>1503</v>
      </c>
      <c r="CL325" s="80" t="str">
        <f t="shared" si="10"/>
        <v>Section-Front-Salessfs</v>
      </c>
    </row>
    <row r="326" spans="1:90">
      <c r="A326" s="79" t="str">
        <f t="shared" si="11"/>
        <v>Section-Halftitle (sht)</v>
      </c>
      <c r="B326" s="5"/>
      <c r="C326" s="5" t="s">
        <v>950</v>
      </c>
      <c r="D326" s="5" t="s">
        <v>1272</v>
      </c>
      <c r="E326" s="5" t="s">
        <v>1453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81" t="s">
        <v>1459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18" t="s">
        <v>1456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1487</v>
      </c>
      <c r="CL326" s="80" t="str">
        <f t="shared" si="10"/>
        <v>Section-Halftitlesht</v>
      </c>
    </row>
    <row r="327" spans="1:90">
      <c r="A327" s="79" t="str">
        <f t="shared" si="11"/>
        <v>Section-Series-Page (ssp)</v>
      </c>
      <c r="B327" s="5"/>
      <c r="C327" s="5" t="s">
        <v>1450</v>
      </c>
      <c r="D327" s="5" t="s">
        <v>1451</v>
      </c>
      <c r="E327" s="5" t="s">
        <v>1452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81" t="s">
        <v>1459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18" t="s">
        <v>1456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1486</v>
      </c>
      <c r="CK327" s="8" t="s">
        <v>1504</v>
      </c>
      <c r="CL327" s="80" t="str">
        <f t="shared" si="10"/>
        <v>Section-Series-Pagessp</v>
      </c>
    </row>
    <row r="328" spans="1:90">
      <c r="A328" s="79" t="str">
        <f t="shared" si="11"/>
        <v>Section-Ad-Card (sac)</v>
      </c>
      <c r="B328" s="5"/>
      <c r="C328" s="5" t="s">
        <v>949</v>
      </c>
      <c r="D328" s="5" t="s">
        <v>1271</v>
      </c>
      <c r="E328" s="5" t="s">
        <v>1454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81" t="s">
        <v>1459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8" t="s">
        <v>1456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1486</v>
      </c>
      <c r="CK328" s="8" t="s">
        <v>1505</v>
      </c>
      <c r="CL328" s="80" t="str">
        <f t="shared" si="10"/>
        <v>Section-Ad-Cardsac</v>
      </c>
    </row>
    <row r="329" spans="1:90">
      <c r="A329" s="79" t="str">
        <f t="shared" si="11"/>
        <v>Section-Titlepage (sti)</v>
      </c>
      <c r="B329" s="5"/>
      <c r="C329" s="5" t="s">
        <v>951</v>
      </c>
      <c r="D329" s="5" t="s">
        <v>952</v>
      </c>
      <c r="E329" s="5" t="s">
        <v>200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81" t="s">
        <v>1459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18" t="s">
        <v>1456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1488</v>
      </c>
      <c r="CL329" s="80" t="str">
        <f>SUBSTITUTE(SUBSTITUTE(SUBSTITUTE(SUBSTITUTE(A329, "(",""),")","")," ",""),"#","")</f>
        <v>Section-Titlepagesti</v>
      </c>
    </row>
    <row r="330" spans="1:90">
      <c r="A330" s="79" t="str">
        <f t="shared" si="11"/>
        <v>Section-Copyright (scr)</v>
      </c>
      <c r="B330" s="5"/>
      <c r="C330" s="5" t="s">
        <v>1402</v>
      </c>
      <c r="D330" s="5" t="s">
        <v>1403</v>
      </c>
      <c r="E330" s="5" t="s">
        <v>142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81" t="s">
        <v>1459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18" t="s">
        <v>1456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1489</v>
      </c>
      <c r="CL330" s="80" t="str">
        <f t="shared" si="10"/>
        <v>Section-Copyrightscr</v>
      </c>
    </row>
    <row r="331" spans="1:90">
      <c r="A331" s="79" t="str">
        <f t="shared" si="11"/>
        <v>Section-Dedication (sde)</v>
      </c>
      <c r="B331" s="5"/>
      <c r="C331" s="5" t="s">
        <v>1404</v>
      </c>
      <c r="D331" s="5" t="s">
        <v>1405</v>
      </c>
      <c r="E331" s="5" t="s">
        <v>146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81" t="s">
        <v>1459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18" t="s">
        <v>1456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1490</v>
      </c>
      <c r="CL331" s="80" t="str">
        <f t="shared" si="10"/>
        <v>Section-Dedicationsde</v>
      </c>
    </row>
    <row r="332" spans="1:90">
      <c r="A332" s="79" t="str">
        <f t="shared" si="11"/>
        <v>Section-Epigraph (sepi)</v>
      </c>
      <c r="B332" s="5"/>
      <c r="C332" s="5" t="s">
        <v>1406</v>
      </c>
      <c r="D332" s="5" t="s">
        <v>1407</v>
      </c>
      <c r="E332" s="5" t="s">
        <v>159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81" t="s">
        <v>1459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18" t="s">
        <v>1456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1486</v>
      </c>
      <c r="CK332" s="8" t="s">
        <v>1476</v>
      </c>
      <c r="CL332" s="80" t="str">
        <f t="shared" si="10"/>
        <v>Section-Epigraphsepi</v>
      </c>
    </row>
    <row r="333" spans="1:90">
      <c r="A333" s="79" t="str">
        <f t="shared" si="11"/>
        <v>Section-Contents (stc)</v>
      </c>
      <c r="B333" s="5"/>
      <c r="C333" s="5" t="s">
        <v>1408</v>
      </c>
      <c r="D333" s="5" t="s">
        <v>1409</v>
      </c>
      <c r="E333" s="5" t="s">
        <v>1452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81" t="s">
        <v>1459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18" t="s">
        <v>1456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1486</v>
      </c>
      <c r="CK333" s="8" t="s">
        <v>1506</v>
      </c>
      <c r="CL333" s="80" t="str">
        <f t="shared" si="10"/>
        <v>Section-Contentsstc</v>
      </c>
    </row>
    <row r="334" spans="1:90">
      <c r="A334" s="79" t="str">
        <f t="shared" si="11"/>
        <v>Section-Foreword (sfw)</v>
      </c>
      <c r="B334" s="5"/>
      <c r="C334" s="5" t="s">
        <v>1413</v>
      </c>
      <c r="D334" s="5" t="s">
        <v>1414</v>
      </c>
      <c r="E334" s="5" t="s">
        <v>1452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81" t="s">
        <v>1459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18" t="s">
        <v>1456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1491</v>
      </c>
      <c r="CL334" s="80" t="str">
        <f t="shared" si="10"/>
        <v>Section-Forewordsfw</v>
      </c>
    </row>
    <row r="335" spans="1:90">
      <c r="A335" s="79" t="str">
        <f t="shared" si="11"/>
        <v>Section-Preface (spf)</v>
      </c>
      <c r="B335" s="5"/>
      <c r="C335" s="5" t="s">
        <v>1411</v>
      </c>
      <c r="D335" s="5" t="s">
        <v>1412</v>
      </c>
      <c r="E335" s="5" t="s">
        <v>1452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81" t="s">
        <v>1459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18" t="s">
        <v>1456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1486</v>
      </c>
      <c r="CL335" s="80" t="str">
        <f t="shared" si="10"/>
        <v>Section-Prefacespf</v>
      </c>
    </row>
    <row r="336" spans="1:90">
      <c r="A336" s="79" t="str">
        <f t="shared" si="11"/>
        <v>Section-Blank-Page (sbl)</v>
      </c>
      <c r="B336" s="5"/>
      <c r="C336" s="5" t="s">
        <v>1415</v>
      </c>
      <c r="D336" s="5" t="s">
        <v>1416</v>
      </c>
      <c r="E336" s="5" t="s">
        <v>234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81" t="s">
        <v>1459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18" t="s">
        <v>1456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1486</v>
      </c>
      <c r="CK336" s="8" t="s">
        <v>1507</v>
      </c>
      <c r="CL336" s="80" t="str">
        <f t="shared" si="10"/>
        <v>Section-Blank-Pagesbl</v>
      </c>
    </row>
    <row r="337" spans="1:90">
      <c r="A337" s="79" t="str">
        <f t="shared" si="11"/>
        <v>Section-Intro-Frontmatter (sif)</v>
      </c>
      <c r="B337" s="5"/>
      <c r="C337" s="5" t="s">
        <v>1418</v>
      </c>
      <c r="D337" s="5" t="s">
        <v>1410</v>
      </c>
      <c r="E337" s="5" t="s">
        <v>1452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81" t="s">
        <v>1459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18" t="s">
        <v>1456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1492</v>
      </c>
      <c r="CL337" s="80" t="str">
        <f t="shared" si="10"/>
        <v>Section-Intro-Frontmattersif</v>
      </c>
    </row>
    <row r="338" spans="1:90">
      <c r="A338" s="79" t="str">
        <f t="shared" si="11"/>
        <v>Section-Intro-Chapter (sic)</v>
      </c>
      <c r="B338" s="5"/>
      <c r="C338" s="5" t="s">
        <v>1417</v>
      </c>
      <c r="D338" s="5" t="s">
        <v>1419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81" t="s">
        <v>1459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1458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1493</v>
      </c>
      <c r="CK338" s="8" t="s">
        <v>1492</v>
      </c>
      <c r="CL338" s="80" t="str">
        <f t="shared" si="10"/>
        <v>Section-Intro-Chaptersic</v>
      </c>
    </row>
    <row r="339" spans="1:90">
      <c r="A339" s="79" t="str">
        <f t="shared" si="11"/>
        <v>Section-Part (spt)</v>
      </c>
      <c r="B339" s="5"/>
      <c r="C339" s="5" t="s">
        <v>1420</v>
      </c>
      <c r="D339" s="5" t="s">
        <v>1421</v>
      </c>
      <c r="E339" s="5" t="s">
        <v>236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81" t="s">
        <v>1459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1458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1494</v>
      </c>
      <c r="CL339" s="80" t="str">
        <f t="shared" si="10"/>
        <v>Section-Partspt</v>
      </c>
    </row>
    <row r="340" spans="1:90">
      <c r="A340" s="79" t="str">
        <f t="shared" si="11"/>
        <v>Section-Chapter (scp)</v>
      </c>
      <c r="B340" s="5"/>
      <c r="C340" s="5" t="s">
        <v>1422</v>
      </c>
      <c r="D340" s="5" t="s">
        <v>1423</v>
      </c>
      <c r="E340" s="5" t="s">
        <v>1455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81" t="s">
        <v>1459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1458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1493</v>
      </c>
      <c r="CL340" s="80" t="str">
        <f t="shared" si="10"/>
        <v>Section-Chapterscp</v>
      </c>
    </row>
    <row r="341" spans="1:90">
      <c r="A341" s="79" t="str">
        <f t="shared" si="11"/>
        <v>Section-Conclusion (scl)</v>
      </c>
      <c r="B341" s="5"/>
      <c r="C341" s="5" t="s">
        <v>1428</v>
      </c>
      <c r="D341" s="5" t="s">
        <v>1429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81" t="s">
        <v>1459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1458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1495</v>
      </c>
      <c r="CL341" s="80" t="str">
        <f t="shared" si="10"/>
        <v>Section-Conclusionscl</v>
      </c>
    </row>
    <row r="342" spans="1:90">
      <c r="A342" s="79" t="str">
        <f t="shared" si="11"/>
        <v>Section-Appendix (sap)</v>
      </c>
      <c r="B342" s="5"/>
      <c r="C342" s="5" t="s">
        <v>1424</v>
      </c>
      <c r="D342" s="5" t="s">
        <v>1425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81" t="s">
        <v>1459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1457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1496</v>
      </c>
      <c r="CL342" s="80" t="str">
        <f t="shared" si="10"/>
        <v>Section-Appendixsap</v>
      </c>
    </row>
    <row r="343" spans="1:90">
      <c r="A343" s="79" t="str">
        <f t="shared" si="11"/>
        <v>Section-Afterword (saw)</v>
      </c>
      <c r="B343" s="5"/>
      <c r="C343" s="5" t="s">
        <v>1426</v>
      </c>
      <c r="D343" s="5" t="s">
        <v>1427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81" t="s">
        <v>1459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1457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1497</v>
      </c>
      <c r="CL343" s="80" t="str">
        <f t="shared" si="10"/>
        <v>Section-Afterwordsaw</v>
      </c>
    </row>
    <row r="344" spans="1:90">
      <c r="A344" s="79" t="str">
        <f t="shared" si="11"/>
        <v>Section-Acknowledgments (sak)</v>
      </c>
      <c r="B344" s="5"/>
      <c r="C344" s="5" t="s">
        <v>1430</v>
      </c>
      <c r="D344" s="5" t="s">
        <v>1431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81" t="s">
        <v>1459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1457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1498</v>
      </c>
      <c r="CL344" s="80" t="str">
        <f t="shared" si="10"/>
        <v>Section-Acknowledgmentssak</v>
      </c>
    </row>
    <row r="345" spans="1:90">
      <c r="A345" s="79" t="str">
        <f t="shared" si="11"/>
        <v>Section-Glossary (sgl)</v>
      </c>
      <c r="B345" s="5"/>
      <c r="C345" s="5" t="s">
        <v>1432</v>
      </c>
      <c r="D345" s="5" t="s">
        <v>1433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81" t="s">
        <v>1459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1457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1499</v>
      </c>
      <c r="CL345" s="80" t="str">
        <f t="shared" si="10"/>
        <v>Section-Glossarysgl</v>
      </c>
    </row>
    <row r="346" spans="1:90">
      <c r="A346" s="79" t="str">
        <f t="shared" si="11"/>
        <v>Section-Notes (snt)</v>
      </c>
      <c r="B346" s="5"/>
      <c r="C346" s="5" t="s">
        <v>1434</v>
      </c>
      <c r="D346" s="5" t="s">
        <v>1435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81" t="s">
        <v>1459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1457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1496</v>
      </c>
      <c r="CK346" s="8" t="s">
        <v>1508</v>
      </c>
      <c r="CL346" s="80" t="str">
        <f t="shared" si="10"/>
        <v>Section-Notessnt</v>
      </c>
    </row>
    <row r="347" spans="1:90">
      <c r="A347" s="79" t="str">
        <f t="shared" si="11"/>
        <v>Section-Bibliography (sbi)</v>
      </c>
      <c r="B347" s="5"/>
      <c r="C347" s="5" t="s">
        <v>1436</v>
      </c>
      <c r="D347" s="5" t="s">
        <v>1437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81" t="s">
        <v>1459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1457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1500</v>
      </c>
      <c r="CL347" s="80" t="str">
        <f t="shared" si="10"/>
        <v>Section-Bibliographysbi</v>
      </c>
    </row>
    <row r="348" spans="1:90">
      <c r="A348" s="79" t="str">
        <f t="shared" si="11"/>
        <v>Section-Excerpt-Opener (seo)</v>
      </c>
      <c r="B348" s="5"/>
      <c r="C348" s="5" t="s">
        <v>1438</v>
      </c>
      <c r="D348" s="5" t="s">
        <v>1439</v>
      </c>
      <c r="E348" s="5" t="s">
        <v>315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81" t="s">
        <v>1459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1457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1496</v>
      </c>
      <c r="CK348" s="8" t="s">
        <v>1509</v>
      </c>
      <c r="CL348" s="80" t="str">
        <f t="shared" si="10"/>
        <v>Section-Excerpt-Openerseo</v>
      </c>
    </row>
    <row r="349" spans="1:90">
      <c r="A349" s="79" t="str">
        <f t="shared" si="11"/>
        <v>Section-Excerpt-Chapter (sec)</v>
      </c>
      <c r="B349" s="5"/>
      <c r="C349" s="5" t="s">
        <v>1440</v>
      </c>
      <c r="D349" s="5" t="s">
        <v>1441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81" t="s">
        <v>1459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1457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1496</v>
      </c>
      <c r="CK349" s="8" t="s">
        <v>1510</v>
      </c>
      <c r="CL349" s="80" t="str">
        <f t="shared" si="10"/>
        <v>Section-Excerpt-Chaptersec</v>
      </c>
    </row>
    <row r="350" spans="1:90">
      <c r="A350" s="79" t="str">
        <f t="shared" si="11"/>
        <v>Section-About-Author (saa)</v>
      </c>
      <c r="B350" s="5"/>
      <c r="C350" s="5" t="s">
        <v>1442</v>
      </c>
      <c r="D350" s="5" t="s">
        <v>1443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81" t="s">
        <v>1459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1457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1496</v>
      </c>
      <c r="CK350" s="8" t="s">
        <v>1511</v>
      </c>
      <c r="CL350" s="80" t="str">
        <f t="shared" si="10"/>
        <v>Section-About-Authorsaa</v>
      </c>
    </row>
    <row r="351" spans="1:90">
      <c r="A351" s="79" t="str">
        <f t="shared" si="11"/>
        <v>Section-Back-Ad (sba)</v>
      </c>
      <c r="B351" s="5"/>
      <c r="C351" s="5" t="s">
        <v>1444</v>
      </c>
      <c r="D351" s="5" t="s">
        <v>1445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81" t="s">
        <v>1459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1457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1496</v>
      </c>
      <c r="CK351" s="8" t="s">
        <v>1512</v>
      </c>
      <c r="CL351" s="80" t="str">
        <f t="shared" si="10"/>
        <v>Section-Back-Adsba</v>
      </c>
    </row>
    <row r="352" spans="1:90">
      <c r="A352" s="79" t="str">
        <f t="shared" si="11"/>
        <v>Section-Index (sin)</v>
      </c>
      <c r="B352" s="5"/>
      <c r="C352" s="5" t="s">
        <v>1446</v>
      </c>
      <c r="D352" s="5" t="s">
        <v>1447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81" t="s">
        <v>1459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1457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1501</v>
      </c>
      <c r="CL352" s="80" t="str">
        <f t="shared" si="10"/>
        <v>Section-Indexsin</v>
      </c>
    </row>
    <row r="353" spans="1:91">
      <c r="A353" s="79" t="str">
        <f t="shared" si="11"/>
        <v>Section Break (sbr)</v>
      </c>
      <c r="B353" s="5"/>
      <c r="C353" s="5" t="s">
        <v>813</v>
      </c>
      <c r="D353" s="5" t="s">
        <v>1273</v>
      </c>
      <c r="E353" s="5" t="s">
        <v>256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30" t="s">
        <v>145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5" t="s">
        <v>374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L353" s="80" t="str">
        <f t="shared" si="10"/>
        <v>SectionBreaksbr</v>
      </c>
      <c r="CM353" s="82"/>
    </row>
    <row r="354" spans="1:91">
      <c r="A354" s="79" t="str">
        <f t="shared" si="11"/>
        <v>Series Page Author (sau)</v>
      </c>
      <c r="B354" s="5"/>
      <c r="C354" s="5" t="s">
        <v>814</v>
      </c>
      <c r="D354" s="5" t="s">
        <v>1274</v>
      </c>
      <c r="E354" s="5" t="s">
        <v>257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8" t="s">
        <v>383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L354" s="80" t="str">
        <f t="shared" si="10"/>
        <v>SeriesPageAuthorsau</v>
      </c>
      <c r="CM354" s="82"/>
    </row>
    <row r="355" spans="1:91">
      <c r="A355" s="79" t="str">
        <f t="shared" si="11"/>
        <v>Series Page Heading (sh)</v>
      </c>
      <c r="B355" s="5"/>
      <c r="C355" s="5" t="s">
        <v>815</v>
      </c>
      <c r="D355" s="5" t="s">
        <v>1275</v>
      </c>
      <c r="E355" s="5" t="s">
        <v>260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8" t="s">
        <v>383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L355" s="80" t="str">
        <f t="shared" si="10"/>
        <v>SeriesPageHeadingsh</v>
      </c>
      <c r="CM355" s="82"/>
    </row>
    <row r="356" spans="1:91">
      <c r="A356" s="79" t="str">
        <f t="shared" si="11"/>
        <v>Series Page List of Titles (slt)</v>
      </c>
      <c r="B356" s="5"/>
      <c r="C356" s="5" t="s">
        <v>816</v>
      </c>
      <c r="D356" s="5" t="s">
        <v>1276</v>
      </c>
      <c r="E356" s="5" t="s">
        <v>258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8" t="s">
        <v>383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L356" s="80" t="str">
        <f t="shared" si="10"/>
        <v>SeriesPageListofTitlesslt</v>
      </c>
      <c r="CM356" s="82"/>
    </row>
    <row r="357" spans="1:91">
      <c r="A357" s="79" t="str">
        <f t="shared" si="11"/>
        <v>Series Page Subhead 1 (sh1)</v>
      </c>
      <c r="B357" s="5"/>
      <c r="C357" s="5" t="s">
        <v>817</v>
      </c>
      <c r="D357" s="5" t="s">
        <v>1277</v>
      </c>
      <c r="E357" s="5" t="s">
        <v>260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8" t="s">
        <v>383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L357" s="80" t="str">
        <f t="shared" si="10"/>
        <v>SeriesPageSubhead1sh1</v>
      </c>
      <c r="CM357" s="82"/>
    </row>
    <row r="358" spans="1:91">
      <c r="A358" s="79" t="str">
        <f t="shared" si="11"/>
        <v>Series Page Subhead 2 (sh2)</v>
      </c>
      <c r="B358" s="5"/>
      <c r="C358" s="5" t="s">
        <v>818</v>
      </c>
      <c r="D358" s="5" t="s">
        <v>1278</v>
      </c>
      <c r="E358" s="5" t="s">
        <v>260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8" t="s">
        <v>383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L358" s="80" t="str">
        <f t="shared" si="10"/>
        <v>SeriesPageSubhead2sh2</v>
      </c>
      <c r="CM358" s="82"/>
    </row>
    <row r="359" spans="1:91">
      <c r="A359" s="79" t="str">
        <f t="shared" si="11"/>
        <v>Series Page Subhead 3 (sh3)</v>
      </c>
      <c r="B359" s="5"/>
      <c r="C359" s="5" t="s">
        <v>819</v>
      </c>
      <c r="D359" s="5" t="s">
        <v>1279</v>
      </c>
      <c r="E359" s="5" t="s">
        <v>260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8" t="s">
        <v>383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L359" s="80" t="str">
        <f t="shared" si="10"/>
        <v>SeriesPageSubhead3sh3</v>
      </c>
      <c r="CM359" s="82"/>
    </row>
    <row r="360" spans="1:91">
      <c r="A360" s="79" t="str">
        <f t="shared" si="11"/>
        <v>Series Page Text (stx)</v>
      </c>
      <c r="B360" s="5"/>
      <c r="C360" s="5" t="s">
        <v>820</v>
      </c>
      <c r="D360" s="5" t="s">
        <v>1280</v>
      </c>
      <c r="E360" s="5" t="s">
        <v>259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8" t="s">
        <v>383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L360" s="80" t="str">
        <f t="shared" si="10"/>
        <v>SeriesPageTextstx</v>
      </c>
      <c r="CM360" s="82"/>
    </row>
    <row r="361" spans="1:91">
      <c r="A361" s="79" t="str">
        <f t="shared" si="11"/>
        <v>Series Page Text No-Indent (stx1)</v>
      </c>
      <c r="B361" s="5"/>
      <c r="C361" s="5" t="s">
        <v>821</v>
      </c>
      <c r="D361" s="5" t="s">
        <v>1281</v>
      </c>
      <c r="E361" s="5" t="s">
        <v>260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8" t="s">
        <v>383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L361" s="80" t="str">
        <f t="shared" si="10"/>
        <v>SeriesPageTextNo-Indentstx1</v>
      </c>
      <c r="CM361" s="82"/>
    </row>
    <row r="362" spans="1:91">
      <c r="A362" s="79" t="str">
        <f t="shared" si="11"/>
        <v>Sidebar Epigraph - non-verse (sbepi)</v>
      </c>
      <c r="B362" s="5"/>
      <c r="C362" s="5" t="s">
        <v>822</v>
      </c>
      <c r="D362" s="5" t="s">
        <v>1282</v>
      </c>
      <c r="E362" s="5" t="s">
        <v>261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9" t="s">
        <v>262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50" t="s">
        <v>373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1472</v>
      </c>
      <c r="BQ362" s="8" t="s">
        <v>1473</v>
      </c>
      <c r="BY362" s="8" t="b">
        <v>1</v>
      </c>
      <c r="CL362" s="80" t="str">
        <f t="shared" si="10"/>
        <v>SidebarEpigraph-non-versesbepi</v>
      </c>
      <c r="CM362" s="82"/>
    </row>
    <row r="363" spans="1:91">
      <c r="A363" s="79" t="str">
        <f t="shared" si="11"/>
        <v>Sidebar Epigraph - verse (sbepiv)</v>
      </c>
      <c r="B363" s="5"/>
      <c r="C363" s="5" t="s">
        <v>823</v>
      </c>
      <c r="D363" s="5" t="s">
        <v>1283</v>
      </c>
      <c r="E363" s="5" t="s">
        <v>263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9" t="s">
        <v>262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50" t="s">
        <v>373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1472</v>
      </c>
      <c r="BQ363" s="8" t="s">
        <v>1473</v>
      </c>
      <c r="BY363" s="8" t="b">
        <v>1</v>
      </c>
      <c r="CL363" s="80" t="str">
        <f t="shared" si="10"/>
        <v>SidebarEpigraph-versesbepiv</v>
      </c>
      <c r="CM363" s="82"/>
    </row>
    <row r="364" spans="1:91">
      <c r="A364" s="79" t="str">
        <f t="shared" si="11"/>
        <v>Sidebar Epigraph Source (sbeps)</v>
      </c>
      <c r="B364" s="5"/>
      <c r="C364" s="5" t="s">
        <v>824</v>
      </c>
      <c r="D364" s="5" t="s">
        <v>1284</v>
      </c>
      <c r="E364" s="5" t="s">
        <v>271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9" t="s">
        <v>262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50" t="s">
        <v>373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1472</v>
      </c>
      <c r="BQ364" s="8" t="s">
        <v>1473</v>
      </c>
      <c r="BY364" s="8" t="b">
        <v>1</v>
      </c>
      <c r="CL364" s="80" t="str">
        <f t="shared" si="10"/>
        <v>SidebarEpigraphSourcesbeps</v>
      </c>
      <c r="CM364" s="82"/>
    </row>
    <row r="365" spans="1:91">
      <c r="A365" s="79" t="str">
        <f t="shared" si="11"/>
        <v>Sidebar Extract - Verse (sbextv)</v>
      </c>
      <c r="B365" s="5"/>
      <c r="C365" s="5" t="s">
        <v>825</v>
      </c>
      <c r="D365" s="5" t="s">
        <v>1285</v>
      </c>
      <c r="E365" s="5" t="s">
        <v>264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9" t="s">
        <v>262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50" t="s">
        <v>373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1472</v>
      </c>
      <c r="BQ365" s="8" t="s">
        <v>1473</v>
      </c>
      <c r="BY365" s="8" t="b">
        <v>1</v>
      </c>
      <c r="CL365" s="80" t="str">
        <f t="shared" si="10"/>
        <v>SidebarExtract-Versesbextv</v>
      </c>
      <c r="CM365" s="82"/>
    </row>
    <row r="366" spans="1:91">
      <c r="A366" s="79" t="str">
        <f t="shared" si="11"/>
        <v>Sidebar Extract (sbext)</v>
      </c>
      <c r="B366" s="5"/>
      <c r="C366" s="5" t="s">
        <v>826</v>
      </c>
      <c r="D366" s="5" t="s">
        <v>1286</v>
      </c>
      <c r="E366" s="5" t="s">
        <v>265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9" t="s">
        <v>262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50" t="s">
        <v>373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1472</v>
      </c>
      <c r="BQ366" s="8" t="s">
        <v>1473</v>
      </c>
      <c r="BY366" s="8" t="b">
        <v>1</v>
      </c>
      <c r="CL366" s="80" t="str">
        <f t="shared" si="10"/>
        <v>SidebarExtractsbext</v>
      </c>
      <c r="CM366" s="82"/>
    </row>
    <row r="367" spans="1:91">
      <c r="A367" s="79" t="str">
        <f t="shared" si="11"/>
        <v>Sidebar Footnote (sbfn)</v>
      </c>
      <c r="B367" s="5"/>
      <c r="C367" s="5" t="s">
        <v>827</v>
      </c>
      <c r="D367" s="5" t="s">
        <v>1287</v>
      </c>
      <c r="E367" s="5" t="s">
        <v>266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9" t="s">
        <v>262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50" t="s">
        <v>373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1472</v>
      </c>
      <c r="BQ367" s="8" t="s">
        <v>1473</v>
      </c>
      <c r="BY367" s="8" t="b">
        <v>1</v>
      </c>
      <c r="CL367" s="80" t="str">
        <f t="shared" si="10"/>
        <v>SidebarFootnotesbfn</v>
      </c>
      <c r="CM367" s="82"/>
    </row>
    <row r="368" spans="1:91">
      <c r="A368" s="79" t="str">
        <f t="shared" si="11"/>
        <v>Sidebar Head - Level-1 (sbh1)</v>
      </c>
      <c r="B368" s="5"/>
      <c r="C368" s="5" t="s">
        <v>828</v>
      </c>
      <c r="D368" s="5" t="s">
        <v>1288</v>
      </c>
      <c r="E368" s="5" t="s">
        <v>271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9" t="s">
        <v>262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50" t="s">
        <v>373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1472</v>
      </c>
      <c r="BQ368" s="8" t="s">
        <v>1473</v>
      </c>
      <c r="BY368" s="8" t="b">
        <v>1</v>
      </c>
      <c r="CL368" s="80" t="str">
        <f t="shared" si="10"/>
        <v>SidebarHead-Level-1sbh1</v>
      </c>
      <c r="CM368" s="82"/>
    </row>
    <row r="369" spans="1:91">
      <c r="A369" s="79" t="str">
        <f t="shared" si="11"/>
        <v>Sidebar Head - Level-2 (sbh2)</v>
      </c>
      <c r="B369" s="5"/>
      <c r="C369" s="5" t="s">
        <v>829</v>
      </c>
      <c r="D369" s="5" t="s">
        <v>1289</v>
      </c>
      <c r="E369" s="5" t="s">
        <v>271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9" t="s">
        <v>262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50" t="s">
        <v>373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1472</v>
      </c>
      <c r="BQ369" s="8" t="s">
        <v>1473</v>
      </c>
      <c r="BY369" s="8" t="b">
        <v>1</v>
      </c>
      <c r="CL369" s="80" t="str">
        <f t="shared" si="10"/>
        <v>SidebarHead-Level-2sbh2</v>
      </c>
      <c r="CM369" s="82"/>
    </row>
    <row r="370" spans="1:91">
      <c r="A370" s="79" t="str">
        <f t="shared" si="11"/>
        <v>Sidebar Head - Level-3 (sbh3)</v>
      </c>
      <c r="B370" s="5"/>
      <c r="C370" s="5" t="s">
        <v>830</v>
      </c>
      <c r="D370" s="5" t="s">
        <v>1290</v>
      </c>
      <c r="E370" s="5" t="s">
        <v>271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9" t="s">
        <v>262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50" t="s">
        <v>373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1472</v>
      </c>
      <c r="BQ370" s="8" t="s">
        <v>1473</v>
      </c>
      <c r="BY370" s="8" t="b">
        <v>1</v>
      </c>
      <c r="CL370" s="80" t="str">
        <f t="shared" si="10"/>
        <v>SidebarHead-Level-3sbh3</v>
      </c>
      <c r="CM370" s="82"/>
    </row>
    <row r="371" spans="1:91">
      <c r="A371" s="79" t="str">
        <f t="shared" si="11"/>
        <v>Sidebar Head - Level-4 (sbh4)</v>
      </c>
      <c r="B371" s="5"/>
      <c r="C371" s="5" t="s">
        <v>831</v>
      </c>
      <c r="D371" s="5" t="s">
        <v>1291</v>
      </c>
      <c r="E371" s="5" t="s">
        <v>271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9" t="s">
        <v>262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50" t="s">
        <v>373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1472</v>
      </c>
      <c r="BQ371" s="8" t="s">
        <v>1473</v>
      </c>
      <c r="BY371" s="8" t="b">
        <v>1</v>
      </c>
      <c r="CL371" s="80" t="str">
        <f t="shared" si="10"/>
        <v>SidebarHead-Level-4sbh4</v>
      </c>
      <c r="CM371" s="82"/>
    </row>
    <row r="372" spans="1:91">
      <c r="A372" s="79" t="str">
        <f t="shared" si="11"/>
        <v>Sidebar Head - Level-5 (sbh5)</v>
      </c>
      <c r="B372" s="5"/>
      <c r="C372" s="5" t="s">
        <v>832</v>
      </c>
      <c r="D372" s="5" t="s">
        <v>1292</v>
      </c>
      <c r="E372" s="5" t="s">
        <v>271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9" t="s">
        <v>262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50" t="s">
        <v>373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1472</v>
      </c>
      <c r="BQ372" s="8" t="s">
        <v>1473</v>
      </c>
      <c r="BY372" s="8" t="b">
        <v>1</v>
      </c>
      <c r="CL372" s="80" t="str">
        <f t="shared" si="10"/>
        <v>SidebarHead-Level-5sbh5</v>
      </c>
      <c r="CM372" s="82"/>
    </row>
    <row r="373" spans="1:91">
      <c r="A373" s="79" t="str">
        <f t="shared" si="11"/>
        <v>Sidebar Head (sbh)</v>
      </c>
      <c r="B373" s="5"/>
      <c r="C373" s="5" t="s">
        <v>833</v>
      </c>
      <c r="D373" s="5" t="s">
        <v>1293</v>
      </c>
      <c r="E373" s="5" t="s">
        <v>271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9" t="s">
        <v>262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50" t="s">
        <v>373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1472</v>
      </c>
      <c r="BQ373" s="8" t="s">
        <v>1473</v>
      </c>
      <c r="BY373" s="8" t="b">
        <v>1</v>
      </c>
      <c r="CL373" s="80" t="str">
        <f t="shared" si="10"/>
        <v>SidebarHeadsbh</v>
      </c>
      <c r="CM373" s="82"/>
    </row>
    <row r="374" spans="1:91">
      <c r="A374" s="79" t="str">
        <f t="shared" si="11"/>
        <v>Sidebar List Bullet (sbbl)</v>
      </c>
      <c r="B374" s="5"/>
      <c r="C374" s="5" t="s">
        <v>834</v>
      </c>
      <c r="D374" s="5" t="s">
        <v>1294</v>
      </c>
      <c r="E374" s="5" t="s">
        <v>267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9" t="s">
        <v>262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50" t="s">
        <v>373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1469</v>
      </c>
      <c r="BO374" s="8" t="s">
        <v>1206</v>
      </c>
      <c r="BP374" s="8" t="s">
        <v>1472</v>
      </c>
      <c r="BQ374" s="8" t="s">
        <v>1473</v>
      </c>
      <c r="BY374" s="8" t="b">
        <v>1</v>
      </c>
      <c r="CD374" s="8" t="b">
        <v>1</v>
      </c>
      <c r="CL374" s="80" t="str">
        <f t="shared" si="10"/>
        <v>SidebarListBulletsbbl</v>
      </c>
      <c r="CM374" s="82"/>
    </row>
    <row r="375" spans="1:91">
      <c r="A375" s="79" t="str">
        <f t="shared" si="11"/>
        <v>Sidebar List Num (sbnl)</v>
      </c>
      <c r="B375" s="5"/>
      <c r="C375" s="5" t="s">
        <v>835</v>
      </c>
      <c r="D375" s="5" t="s">
        <v>1295</v>
      </c>
      <c r="E375" s="5" t="s">
        <v>268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9" t="s">
        <v>262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50" t="s">
        <v>373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1469</v>
      </c>
      <c r="BO375" s="8" t="s">
        <v>1470</v>
      </c>
      <c r="BP375" s="8" t="s">
        <v>1472</v>
      </c>
      <c r="BQ375" s="8" t="s">
        <v>1473</v>
      </c>
      <c r="BY375" s="8" t="b">
        <v>1</v>
      </c>
      <c r="CE375" s="8" t="b">
        <v>1</v>
      </c>
      <c r="CL375" s="80" t="str">
        <f t="shared" si="10"/>
        <v>SidebarListNumsbnl</v>
      </c>
      <c r="CM375" s="82"/>
    </row>
    <row r="376" spans="1:91">
      <c r="A376" s="79" t="str">
        <f t="shared" si="11"/>
        <v>Sidebar List Unnum (sbul)</v>
      </c>
      <c r="B376" s="5"/>
      <c r="C376" s="5" t="s">
        <v>836</v>
      </c>
      <c r="D376" s="5" t="s">
        <v>1296</v>
      </c>
      <c r="E376" s="5" t="s">
        <v>269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9" t="s">
        <v>262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50" t="s">
        <v>373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1472</v>
      </c>
      <c r="BQ376" s="8" t="s">
        <v>1473</v>
      </c>
      <c r="BY376" s="8" t="b">
        <v>1</v>
      </c>
      <c r="CL376" s="80" t="str">
        <f t="shared" si="10"/>
        <v>SidebarListUnnumsbul</v>
      </c>
      <c r="CM376" s="82"/>
    </row>
    <row r="377" spans="1:91">
      <c r="A377" s="79" t="str">
        <f t="shared" si="11"/>
        <v>Sidebar Source Note (sbsn)</v>
      </c>
      <c r="B377" s="5"/>
      <c r="C377" s="5" t="s">
        <v>837</v>
      </c>
      <c r="D377" s="5" t="s">
        <v>1297</v>
      </c>
      <c r="E377" s="5" t="s">
        <v>271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9" t="s">
        <v>262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50" t="s">
        <v>373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1472</v>
      </c>
      <c r="BQ377" s="8" t="s">
        <v>1473</v>
      </c>
      <c r="BY377" s="8" t="b">
        <v>1</v>
      </c>
      <c r="CL377" s="80" t="str">
        <f t="shared" si="10"/>
        <v>SidebarSourceNotesbsn</v>
      </c>
      <c r="CM377" s="82"/>
    </row>
    <row r="378" spans="1:91">
      <c r="A378" s="79" t="str">
        <f t="shared" si="11"/>
        <v>Sidebar Subhead (sbsh)</v>
      </c>
      <c r="B378" s="5"/>
      <c r="C378" s="5" t="s">
        <v>838</v>
      </c>
      <c r="D378" s="5" t="s">
        <v>1298</v>
      </c>
      <c r="E378" s="5" t="s">
        <v>271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9" t="s">
        <v>262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50" t="s">
        <v>373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1472</v>
      </c>
      <c r="BQ378" s="8" t="s">
        <v>1473</v>
      </c>
      <c r="BY378" s="8" t="b">
        <v>1</v>
      </c>
      <c r="CL378" s="80" t="str">
        <f t="shared" si="10"/>
        <v>SidebarSubheadsbsh</v>
      </c>
      <c r="CM378" s="82"/>
    </row>
    <row r="379" spans="1:91">
      <c r="A379" s="79" t="str">
        <f t="shared" si="11"/>
        <v>Sidebar Text (sbtx)</v>
      </c>
      <c r="B379" s="5"/>
      <c r="C379" s="5" t="s">
        <v>839</v>
      </c>
      <c r="D379" s="5" t="s">
        <v>1299</v>
      </c>
      <c r="E379" s="5" t="s">
        <v>270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9" t="s">
        <v>262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50" t="s">
        <v>373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1472</v>
      </c>
      <c r="BQ379" s="8" t="s">
        <v>1473</v>
      </c>
      <c r="BY379" s="8" t="b">
        <v>1</v>
      </c>
      <c r="CL379" s="80" t="str">
        <f t="shared" si="10"/>
        <v>SidebarTextsbtx</v>
      </c>
      <c r="CM379" s="82"/>
    </row>
    <row r="380" spans="1:91">
      <c r="A380" s="79" t="str">
        <f t="shared" si="11"/>
        <v>Sidebar Text No-Indent (sbtx1)</v>
      </c>
      <c r="B380" s="5"/>
      <c r="C380" s="5" t="s">
        <v>840</v>
      </c>
      <c r="D380" s="5" t="s">
        <v>1300</v>
      </c>
      <c r="E380" s="5" t="s">
        <v>270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9" t="s">
        <v>262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50" t="s">
        <v>373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1472</v>
      </c>
      <c r="BQ380" s="8" t="s">
        <v>1473</v>
      </c>
      <c r="BY380" s="8" t="b">
        <v>1</v>
      </c>
      <c r="CL380" s="80" t="str">
        <f t="shared" si="10"/>
        <v>SidebarTextNo-Indentsbtx1</v>
      </c>
      <c r="CM380" s="82"/>
    </row>
    <row r="381" spans="1:91">
      <c r="A381" s="79" t="str">
        <f t="shared" si="11"/>
        <v>Space Break - 1-Line (ls1)</v>
      </c>
      <c r="B381" s="5"/>
      <c r="C381" s="5" t="s">
        <v>841</v>
      </c>
      <c r="D381" s="5" t="s">
        <v>1301</v>
      </c>
      <c r="E381" s="5" t="s">
        <v>201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73" t="s">
        <v>411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5" t="s">
        <v>374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5" t="s">
        <v>374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L381" s="80" t="str">
        <f t="shared" si="10"/>
        <v>SpaceBreak-1-Linels1</v>
      </c>
    </row>
    <row r="382" spans="1:91">
      <c r="A382" s="79" t="str">
        <f t="shared" si="11"/>
        <v>Space Break - 2-Line (ls2)</v>
      </c>
      <c r="B382" s="5"/>
      <c r="C382" s="5" t="s">
        <v>842</v>
      </c>
      <c r="D382" s="5" t="s">
        <v>1302</v>
      </c>
      <c r="E382" s="5" t="s">
        <v>201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5" t="s">
        <v>374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5" t="s">
        <v>374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L382" s="80" t="str">
        <f t="shared" si="10"/>
        <v>SpaceBreak-2-Linels2</v>
      </c>
    </row>
    <row r="383" spans="1:91">
      <c r="A383" s="79" t="str">
        <f t="shared" si="11"/>
        <v>Space Break - 3-Line (ls3)</v>
      </c>
      <c r="B383" s="5"/>
      <c r="C383" s="5" t="s">
        <v>843</v>
      </c>
      <c r="D383" s="5" t="s">
        <v>1303</v>
      </c>
      <c r="E383" s="5" t="s">
        <v>201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5" t="s">
        <v>374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5" t="s">
        <v>374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L383" s="80" t="str">
        <f t="shared" si="10"/>
        <v>SpaceBreak-3-Linels3</v>
      </c>
    </row>
    <row r="384" spans="1:91">
      <c r="A384" s="79" t="str">
        <f t="shared" si="11"/>
        <v>Space Break - Internal (int)</v>
      </c>
      <c r="B384" s="5"/>
      <c r="C384" s="5" t="s">
        <v>844</v>
      </c>
      <c r="D384" s="5" t="s">
        <v>1304</v>
      </c>
      <c r="E384" s="5" t="s">
        <v>201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51" t="s">
        <v>382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5" t="s">
        <v>374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52" t="s">
        <v>272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L384" s="80" t="str">
        <f t="shared" si="10"/>
        <v>SpaceBreak-Internalint</v>
      </c>
    </row>
    <row r="385" spans="1:90">
      <c r="A385" s="79" t="str">
        <f t="shared" si="11"/>
        <v>Space Break - Print Only (#po)</v>
      </c>
      <c r="B385" s="5"/>
      <c r="C385" s="5" t="s">
        <v>845</v>
      </c>
      <c r="D385" s="5" t="s">
        <v>1305</v>
      </c>
      <c r="E385" s="5" t="s">
        <v>201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5" t="s">
        <v>374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5" t="s">
        <v>374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L385" s="80" t="str">
        <f t="shared" si="10"/>
        <v>SpaceBreak-PrintOnlypo</v>
      </c>
    </row>
    <row r="386" spans="1:90">
      <c r="A386" s="79" t="str">
        <f t="shared" si="11"/>
        <v>Space Break (#)</v>
      </c>
      <c r="B386" s="5"/>
      <c r="C386" s="5" t="s">
        <v>846</v>
      </c>
      <c r="D386" s="5" t="s">
        <v>1306</v>
      </c>
      <c r="E386" s="5" t="s">
        <v>201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73" t="s">
        <v>411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5" t="s">
        <v>374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5" t="s">
        <v>374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L386" s="80" t="str">
        <f t="shared" ref="CL386:CL449" si="12">SUBSTITUTE(SUBSTITUTE(SUBSTITUTE(SUBSTITUTE(A386, "(",""),")","")," ",""),"#","")</f>
        <v>SpaceBreak</v>
      </c>
    </row>
    <row r="387" spans="1:90">
      <c r="A387" s="79" t="str">
        <f t="shared" ref="A387:A450" si="13">IF($D387="","",TRIM($C387)&amp;" "&amp;CHAR(40)&amp;TRIM($D387)&amp;CHAR(41))</f>
        <v>Space Break with ALT Ornament (orn2)</v>
      </c>
      <c r="B387" s="5"/>
      <c r="C387" s="5" t="s">
        <v>847</v>
      </c>
      <c r="D387" s="5" t="s">
        <v>1307</v>
      </c>
      <c r="E387" s="5" t="s">
        <v>201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51" t="s">
        <v>382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5" t="s">
        <v>374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52" t="s">
        <v>272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L387" s="80" t="str">
        <f t="shared" si="12"/>
        <v>SpaceBreakwithALTOrnamentorn2</v>
      </c>
    </row>
    <row r="388" spans="1:90">
      <c r="A388" s="79" t="str">
        <f t="shared" si="13"/>
        <v>Space Break with Ornament (orn)</v>
      </c>
      <c r="B388" s="5"/>
      <c r="C388" s="5" t="s">
        <v>848</v>
      </c>
      <c r="D388" s="5" t="s">
        <v>1308</v>
      </c>
      <c r="E388" s="5" t="s">
        <v>201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5" t="s">
        <v>374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5" t="s">
        <v>374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L388" s="80" t="str">
        <f t="shared" si="12"/>
        <v>SpaceBreakwithOrnamentorn</v>
      </c>
    </row>
    <row r="389" spans="1:90">
      <c r="A389" s="79" t="str">
        <f t="shared" si="13"/>
        <v>span accent characters (acc)</v>
      </c>
      <c r="B389" s="5"/>
      <c r="C389" s="5" t="s">
        <v>849</v>
      </c>
      <c r="D389" s="5" t="s">
        <v>1309</v>
      </c>
      <c r="E389" s="5" t="s">
        <v>273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3" t="s">
        <v>380</v>
      </c>
      <c r="BK389" s="5" t="s">
        <v>101</v>
      </c>
      <c r="BL389" s="5">
        <v>0</v>
      </c>
      <c r="BM389" s="5" t="b">
        <v>0</v>
      </c>
      <c r="BN389" s="8" t="s">
        <v>1477</v>
      </c>
      <c r="CL389" s="80" t="str">
        <f t="shared" si="12"/>
        <v>spanaccentcharactersacc</v>
      </c>
    </row>
    <row r="390" spans="1:90">
      <c r="A390" s="79" t="str">
        <f t="shared" si="13"/>
        <v>span alt font 1 (span1)</v>
      </c>
      <c r="B390" s="5"/>
      <c r="C390" s="5" t="s">
        <v>850</v>
      </c>
      <c r="D390" s="5" t="s">
        <v>1310</v>
      </c>
      <c r="E390" s="5" t="s">
        <v>275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4" t="s">
        <v>379</v>
      </c>
      <c r="BK390" s="5" t="s">
        <v>101</v>
      </c>
      <c r="BL390" s="5">
        <v>0</v>
      </c>
      <c r="BM390" s="5" t="b">
        <v>0</v>
      </c>
      <c r="BN390" s="8" t="s">
        <v>1477</v>
      </c>
      <c r="CL390" s="80" t="str">
        <f t="shared" si="12"/>
        <v>spanaltfont1span1</v>
      </c>
    </row>
    <row r="391" spans="1:90">
      <c r="A391" s="79" t="str">
        <f t="shared" si="13"/>
        <v>span alt font 2 (span2)</v>
      </c>
      <c r="B391" s="5"/>
      <c r="C391" s="5" t="s">
        <v>851</v>
      </c>
      <c r="D391" s="5" t="s">
        <v>1311</v>
      </c>
      <c r="E391" s="5" t="s">
        <v>276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4" t="s">
        <v>379</v>
      </c>
      <c r="BK391" s="5" t="s">
        <v>101</v>
      </c>
      <c r="BL391" s="5">
        <v>0</v>
      </c>
      <c r="BM391" s="5" t="b">
        <v>0</v>
      </c>
      <c r="BN391" s="8" t="s">
        <v>1477</v>
      </c>
      <c r="CL391" s="80" t="str">
        <f t="shared" si="12"/>
        <v>spanaltfont2span2</v>
      </c>
    </row>
    <row r="392" spans="1:90">
      <c r="A392" s="79" t="str">
        <f t="shared" si="13"/>
        <v>span bold ital (bem)</v>
      </c>
      <c r="B392" s="5"/>
      <c r="C392" s="5" t="s">
        <v>852</v>
      </c>
      <c r="D392" s="5" t="s">
        <v>1312</v>
      </c>
      <c r="E392" s="5" t="s">
        <v>277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5" t="s">
        <v>378</v>
      </c>
      <c r="BK392" s="5" t="s">
        <v>101</v>
      </c>
      <c r="BL392" s="5">
        <v>0</v>
      </c>
      <c r="BM392" s="5" t="b">
        <v>0</v>
      </c>
      <c r="BN392" s="8" t="s">
        <v>1480</v>
      </c>
      <c r="CL392" s="80" t="str">
        <f t="shared" si="12"/>
        <v>spanbolditalbem</v>
      </c>
    </row>
    <row r="393" spans="1:90">
      <c r="A393" s="79" t="str">
        <f t="shared" si="13"/>
        <v>span boldface characters (bf)</v>
      </c>
      <c r="B393" s="5"/>
      <c r="C393" s="5" t="s">
        <v>853</v>
      </c>
      <c r="D393" s="5" t="s">
        <v>1313</v>
      </c>
      <c r="E393" s="5" t="s">
        <v>278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73" t="s">
        <v>406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5" t="s">
        <v>378</v>
      </c>
      <c r="BK393" s="5" t="s">
        <v>101</v>
      </c>
      <c r="BL393" s="5">
        <v>0</v>
      </c>
      <c r="BM393" s="5" t="b">
        <v>0</v>
      </c>
      <c r="BN393" s="8" t="s">
        <v>1481</v>
      </c>
      <c r="CL393" s="80" t="str">
        <f t="shared" si="12"/>
        <v>spanboldfacecharactersbf</v>
      </c>
    </row>
    <row r="394" spans="1:90">
      <c r="A394" s="79" t="str">
        <f t="shared" si="13"/>
        <v>span carry query (cq)</v>
      </c>
      <c r="B394" s="5"/>
      <c r="C394" s="5" t="s">
        <v>854</v>
      </c>
      <c r="D394" s="5" t="s">
        <v>1314</v>
      </c>
      <c r="E394" s="5" t="s">
        <v>279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7" t="s">
        <v>368</v>
      </c>
      <c r="BK394" s="5" t="s">
        <v>101</v>
      </c>
      <c r="BL394" s="5">
        <v>0</v>
      </c>
      <c r="BM394" s="5" t="b">
        <v>0</v>
      </c>
      <c r="BN394" s="8" t="s">
        <v>1477</v>
      </c>
      <c r="CL394" s="80" t="str">
        <f t="shared" si="12"/>
        <v>spancarryquerycq</v>
      </c>
    </row>
    <row r="395" spans="1:90">
      <c r="A395" s="79" t="str">
        <f t="shared" si="13"/>
        <v>span cross-reference (xref)</v>
      </c>
      <c r="B395" s="5"/>
      <c r="C395" s="5" t="s">
        <v>855</v>
      </c>
      <c r="D395" s="5" t="s">
        <v>1315</v>
      </c>
      <c r="E395" s="5" t="s">
        <v>281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7" t="s">
        <v>368</v>
      </c>
      <c r="BK395" s="5" t="s">
        <v>101</v>
      </c>
      <c r="BL395" s="5">
        <v>0</v>
      </c>
      <c r="BM395" s="5" t="b">
        <v>0</v>
      </c>
      <c r="BN395" s="8" t="s">
        <v>1477</v>
      </c>
      <c r="CL395" s="80" t="str">
        <f t="shared" si="12"/>
        <v>spancross-referencexref</v>
      </c>
    </row>
    <row r="396" spans="1:90">
      <c r="A396" s="79" t="str">
        <f t="shared" si="13"/>
        <v>span design note (dni)</v>
      </c>
      <c r="B396" s="5"/>
      <c r="C396" s="5" t="s">
        <v>856</v>
      </c>
      <c r="D396" s="5" t="s">
        <v>1316</v>
      </c>
      <c r="E396" s="5" t="s">
        <v>282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51" t="s">
        <v>382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1477</v>
      </c>
      <c r="CL396" s="80" t="str">
        <f t="shared" si="12"/>
        <v>spandesignnotedni</v>
      </c>
    </row>
    <row r="397" spans="1:90">
      <c r="A397" s="79" t="str">
        <f t="shared" si="13"/>
        <v>span hyperlink (url)</v>
      </c>
      <c r="B397" s="5"/>
      <c r="C397" s="5" t="s">
        <v>857</v>
      </c>
      <c r="D397" s="5" t="s">
        <v>1317</v>
      </c>
      <c r="E397" s="5" t="s">
        <v>283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6" t="s">
        <v>377</v>
      </c>
      <c r="BK397" s="5" t="s">
        <v>101</v>
      </c>
      <c r="BL397" s="5">
        <v>0</v>
      </c>
      <c r="BM397" s="5" t="b">
        <v>0</v>
      </c>
      <c r="BN397" s="8" t="s">
        <v>1477</v>
      </c>
      <c r="CL397" s="80" t="str">
        <f t="shared" si="12"/>
        <v>spanhyperlinkurl</v>
      </c>
    </row>
    <row r="398" spans="1:90">
      <c r="A398" s="79" t="str">
        <f t="shared" si="13"/>
        <v>span illustration holder (illi)</v>
      </c>
      <c r="B398" s="5"/>
      <c r="C398" s="5" t="s">
        <v>858</v>
      </c>
      <c r="D398" s="5" t="s">
        <v>1318</v>
      </c>
      <c r="E398" s="5" t="s">
        <v>284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51" t="s">
        <v>382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1477</v>
      </c>
      <c r="CL398" s="80" t="str">
        <f t="shared" si="12"/>
        <v>spanillustrationholderilli</v>
      </c>
    </row>
    <row r="399" spans="1:90">
      <c r="A399" s="79" t="str">
        <f t="shared" si="13"/>
        <v>span ISBN (isbn)</v>
      </c>
      <c r="B399" s="5"/>
      <c r="C399" s="5" t="s">
        <v>859</v>
      </c>
      <c r="D399" s="5" t="s">
        <v>1319</v>
      </c>
      <c r="E399" s="5" t="s">
        <v>285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3" t="s">
        <v>380</v>
      </c>
      <c r="BK399" s="5" t="s">
        <v>101</v>
      </c>
      <c r="BL399" s="5">
        <v>0</v>
      </c>
      <c r="BM399" s="5" t="b">
        <v>0</v>
      </c>
      <c r="BN399" s="8" t="s">
        <v>1477</v>
      </c>
      <c r="CL399" s="80" t="str">
        <f t="shared" si="12"/>
        <v>spanISBNisbn</v>
      </c>
    </row>
    <row r="400" spans="1:90">
      <c r="A400" s="79" t="str">
        <f t="shared" si="13"/>
        <v>span italic characters (ital)</v>
      </c>
      <c r="B400" s="5"/>
      <c r="C400" s="5" t="s">
        <v>860</v>
      </c>
      <c r="D400" s="5" t="s">
        <v>1320</v>
      </c>
      <c r="E400" s="5" t="s">
        <v>286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73" t="s">
        <v>440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5" t="s">
        <v>378</v>
      </c>
      <c r="BK400" s="5" t="s">
        <v>101</v>
      </c>
      <c r="BL400" s="5">
        <v>0</v>
      </c>
      <c r="BM400" s="5" t="b">
        <v>0</v>
      </c>
      <c r="BN400" s="8" t="s">
        <v>1482</v>
      </c>
      <c r="CL400" s="80" t="str">
        <f t="shared" si="12"/>
        <v>spanitaliccharactersital</v>
      </c>
    </row>
    <row r="401" spans="1:90">
      <c r="A401" s="79" t="str">
        <f t="shared" si="13"/>
        <v>span key phrase (kp)</v>
      </c>
      <c r="B401" s="5"/>
      <c r="C401" s="5" t="s">
        <v>861</v>
      </c>
      <c r="D401" s="5" t="s">
        <v>1321</v>
      </c>
      <c r="E401" s="5" t="s">
        <v>287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5" t="s">
        <v>378</v>
      </c>
      <c r="BK401" s="5" t="s">
        <v>101</v>
      </c>
      <c r="BL401" s="5">
        <v>0</v>
      </c>
      <c r="BM401" s="5" t="b">
        <v>0</v>
      </c>
      <c r="BN401" s="8" t="s">
        <v>1477</v>
      </c>
      <c r="CL401" s="80" t="str">
        <f t="shared" si="12"/>
        <v>spankeyphrasekp</v>
      </c>
    </row>
    <row r="402" spans="1:90">
      <c r="A402" s="79" t="str">
        <f t="shared" si="13"/>
        <v>span material to come (tk)</v>
      </c>
      <c r="B402" s="5"/>
      <c r="C402" s="5" t="s">
        <v>862</v>
      </c>
      <c r="D402" s="5" t="s">
        <v>1322</v>
      </c>
      <c r="E402" s="5" t="s">
        <v>280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7" t="s">
        <v>368</v>
      </c>
      <c r="BK402" s="5" t="s">
        <v>101</v>
      </c>
      <c r="BL402" s="5">
        <v>0</v>
      </c>
      <c r="BM402" s="5" t="b">
        <v>0</v>
      </c>
      <c r="BN402" s="8" t="s">
        <v>1477</v>
      </c>
      <c r="CL402" s="80" t="str">
        <f t="shared" si="12"/>
        <v>spanmaterialtocometk</v>
      </c>
    </row>
    <row r="403" spans="1:90">
      <c r="A403" s="79" t="str">
        <f t="shared" si="13"/>
        <v>span preserve characters (pre)</v>
      </c>
      <c r="B403" s="5"/>
      <c r="C403" s="5" t="s">
        <v>863</v>
      </c>
      <c r="D403" s="5" t="s">
        <v>1323</v>
      </c>
      <c r="E403" s="5" t="s">
        <v>288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3" t="s">
        <v>380</v>
      </c>
      <c r="BK403" s="5" t="s">
        <v>101</v>
      </c>
      <c r="BL403" s="5">
        <v>0</v>
      </c>
      <c r="BM403" s="5" t="b">
        <v>0</v>
      </c>
      <c r="BN403" s="8" t="s">
        <v>1477</v>
      </c>
      <c r="CL403" s="80" t="str">
        <f t="shared" si="12"/>
        <v>spanpreservecharacterspre</v>
      </c>
    </row>
    <row r="404" spans="1:90">
      <c r="A404" s="79" t="str">
        <f t="shared" si="13"/>
        <v>span run-in computer type (comp)</v>
      </c>
      <c r="B404" s="5"/>
      <c r="C404" s="5" t="s">
        <v>864</v>
      </c>
      <c r="D404" s="5" t="s">
        <v>1324</v>
      </c>
      <c r="E404" s="5" t="s">
        <v>289</v>
      </c>
      <c r="F404" s="5">
        <v>2</v>
      </c>
      <c r="G404" s="5" t="b">
        <v>0</v>
      </c>
      <c r="H404" s="5">
        <v>2</v>
      </c>
      <c r="I404" s="5" t="s">
        <v>144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5" t="s">
        <v>378</v>
      </c>
      <c r="BK404" s="5" t="s">
        <v>101</v>
      </c>
      <c r="BL404" s="5">
        <v>0</v>
      </c>
      <c r="BM404" s="5" t="b">
        <v>0</v>
      </c>
      <c r="BN404" s="8" t="s">
        <v>1477</v>
      </c>
      <c r="CL404" s="80" t="str">
        <f t="shared" si="12"/>
        <v>spanrun-incomputertypecomp</v>
      </c>
    </row>
    <row r="405" spans="1:90">
      <c r="A405" s="79" t="str">
        <f t="shared" si="13"/>
        <v>span small caps characters (sc)</v>
      </c>
      <c r="B405" s="5"/>
      <c r="C405" s="5" t="s">
        <v>865</v>
      </c>
      <c r="D405" s="5" t="s">
        <v>1325</v>
      </c>
      <c r="E405" s="5" t="s">
        <v>290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5" t="s">
        <v>378</v>
      </c>
      <c r="BK405" s="5" t="s">
        <v>101</v>
      </c>
      <c r="BL405" s="5">
        <v>0</v>
      </c>
      <c r="BM405" s="5" t="b">
        <v>0</v>
      </c>
      <c r="BN405" s="8" t="s">
        <v>1477</v>
      </c>
      <c r="CL405" s="80" t="str">
        <f t="shared" si="12"/>
        <v>spansmallcapscharacterssc</v>
      </c>
    </row>
    <row r="406" spans="1:90">
      <c r="A406" s="79" t="str">
        <f t="shared" si="13"/>
        <v>span smcap bold (scbold)</v>
      </c>
      <c r="B406" s="5"/>
      <c r="C406" s="5" t="s">
        <v>866</v>
      </c>
      <c r="D406" s="5" t="s">
        <v>1326</v>
      </c>
      <c r="E406" s="5" t="s">
        <v>291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5" t="s">
        <v>378</v>
      </c>
      <c r="BK406" s="5" t="s">
        <v>101</v>
      </c>
      <c r="BL406" s="5">
        <v>0</v>
      </c>
      <c r="BM406" s="5" t="b">
        <v>0</v>
      </c>
      <c r="BN406" s="8" t="s">
        <v>1477</v>
      </c>
      <c r="CL406" s="80" t="str">
        <f t="shared" si="12"/>
        <v>spansmcapboldscbold</v>
      </c>
    </row>
    <row r="407" spans="1:90">
      <c r="A407" s="79" t="str">
        <f t="shared" si="13"/>
        <v>span smcap bold ital (scbi)</v>
      </c>
      <c r="B407" s="5"/>
      <c r="C407" s="5" t="s">
        <v>867</v>
      </c>
      <c r="D407" s="5" t="s">
        <v>1327</v>
      </c>
      <c r="E407" s="5" t="s">
        <v>292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5" t="s">
        <v>378</v>
      </c>
      <c r="BK407" s="5" t="s">
        <v>101</v>
      </c>
      <c r="BL407" s="5">
        <v>0</v>
      </c>
      <c r="BM407" s="5" t="b">
        <v>0</v>
      </c>
      <c r="BN407" s="8" t="s">
        <v>1483</v>
      </c>
      <c r="CL407" s="80" t="str">
        <f t="shared" si="12"/>
        <v>spansmcapbolditalscbi</v>
      </c>
    </row>
    <row r="408" spans="1:90">
      <c r="A408" s="79" t="str">
        <f t="shared" si="13"/>
        <v>span smcap ital (scital)</v>
      </c>
      <c r="B408" s="5"/>
      <c r="C408" s="5" t="s">
        <v>868</v>
      </c>
      <c r="D408" s="5" t="s">
        <v>1328</v>
      </c>
      <c r="E408" s="5" t="s">
        <v>293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5" t="s">
        <v>378</v>
      </c>
      <c r="BK408" s="5" t="s">
        <v>101</v>
      </c>
      <c r="BL408" s="5">
        <v>0</v>
      </c>
      <c r="BM408" s="5" t="b">
        <v>0</v>
      </c>
      <c r="BN408" s="8" t="s">
        <v>1484</v>
      </c>
      <c r="CL408" s="80" t="str">
        <f t="shared" si="12"/>
        <v>spansmcapitalscital</v>
      </c>
    </row>
    <row r="409" spans="1:90">
      <c r="A409" s="79" t="str">
        <f t="shared" si="13"/>
        <v>span strikethrough characters (str)</v>
      </c>
      <c r="B409" s="5"/>
      <c r="C409" s="5" t="s">
        <v>869</v>
      </c>
      <c r="D409" s="5" t="s">
        <v>1329</v>
      </c>
      <c r="E409" s="5" t="s">
        <v>294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5" t="s">
        <v>378</v>
      </c>
      <c r="BK409" s="5" t="s">
        <v>101</v>
      </c>
      <c r="BL409" s="5">
        <v>0</v>
      </c>
      <c r="BM409" s="5" t="b">
        <v>0</v>
      </c>
      <c r="BN409" s="8" t="s">
        <v>1477</v>
      </c>
      <c r="CL409" s="80" t="str">
        <f t="shared" si="12"/>
        <v>spanstrikethroughcharactersstr</v>
      </c>
    </row>
    <row r="410" spans="1:90">
      <c r="A410" s="79" t="str">
        <f t="shared" si="13"/>
        <v>span subscript characters (sub)</v>
      </c>
      <c r="B410" s="5"/>
      <c r="C410" s="5" t="s">
        <v>870</v>
      </c>
      <c r="D410" s="5" t="s">
        <v>1330</v>
      </c>
      <c r="E410" s="5" t="s">
        <v>295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5" t="s">
        <v>378</v>
      </c>
      <c r="BK410" s="5" t="s">
        <v>101</v>
      </c>
      <c r="BL410" s="5">
        <v>0</v>
      </c>
      <c r="BM410" s="5" t="b">
        <v>0</v>
      </c>
      <c r="BN410" s="8" t="s">
        <v>1330</v>
      </c>
      <c r="CL410" s="80" t="str">
        <f t="shared" si="12"/>
        <v>spansubscriptcharacterssub</v>
      </c>
    </row>
    <row r="411" spans="1:90">
      <c r="A411" s="79" t="str">
        <f t="shared" si="13"/>
        <v>span superscript characters (sup)</v>
      </c>
      <c r="B411" s="5"/>
      <c r="C411" s="5" t="s">
        <v>871</v>
      </c>
      <c r="D411" s="5" t="s">
        <v>1331</v>
      </c>
      <c r="E411" s="5" t="s">
        <v>296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5" t="s">
        <v>378</v>
      </c>
      <c r="BK411" s="5" t="s">
        <v>101</v>
      </c>
      <c r="BL411" s="5">
        <v>0</v>
      </c>
      <c r="BM411" s="5" t="b">
        <v>0</v>
      </c>
      <c r="BN411" s="8" t="s">
        <v>1331</v>
      </c>
      <c r="CL411" s="80" t="str">
        <f t="shared" si="12"/>
        <v>spansuperscriptcharacterssup</v>
      </c>
    </row>
    <row r="412" spans="1:90">
      <c r="A412" s="79" t="str">
        <f t="shared" si="13"/>
        <v>span symbols (sym)</v>
      </c>
      <c r="B412" s="5"/>
      <c r="C412" s="5" t="s">
        <v>872</v>
      </c>
      <c r="D412" s="5" t="s">
        <v>1332</v>
      </c>
      <c r="E412" s="5" t="s">
        <v>274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3" t="s">
        <v>380</v>
      </c>
      <c r="BK412" s="5" t="s">
        <v>101</v>
      </c>
      <c r="BL412" s="5">
        <v>0</v>
      </c>
      <c r="BM412" s="5" t="b">
        <v>0</v>
      </c>
      <c r="BN412" s="8" t="s">
        <v>1477</v>
      </c>
      <c r="CL412" s="80" t="str">
        <f t="shared" si="12"/>
        <v>spansymbolssym</v>
      </c>
    </row>
    <row r="413" spans="1:90">
      <c r="A413" s="79" t="str">
        <f t="shared" si="13"/>
        <v>span symbols bold (symb)</v>
      </c>
      <c r="B413" s="5"/>
      <c r="C413" s="5" t="s">
        <v>873</v>
      </c>
      <c r="D413" s="5" t="s">
        <v>1333</v>
      </c>
      <c r="E413" s="5" t="s">
        <v>297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3" t="s">
        <v>380</v>
      </c>
      <c r="BK413" s="5" t="s">
        <v>101</v>
      </c>
      <c r="BL413" s="5">
        <v>0</v>
      </c>
      <c r="BM413" s="5" t="b">
        <v>0</v>
      </c>
      <c r="BN413" s="8" t="s">
        <v>1477</v>
      </c>
      <c r="CL413" s="80" t="str">
        <f t="shared" si="12"/>
        <v>spansymbolsboldsymb</v>
      </c>
    </row>
    <row r="414" spans="1:90">
      <c r="A414" s="79" t="str">
        <f t="shared" si="13"/>
        <v>span symbols ital (symi)</v>
      </c>
      <c r="B414" s="5"/>
      <c r="C414" s="5" t="s">
        <v>874</v>
      </c>
      <c r="D414" s="5" t="s">
        <v>1334</v>
      </c>
      <c r="E414" s="5" t="s">
        <v>298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3" t="s">
        <v>380</v>
      </c>
      <c r="BK414" s="5" t="s">
        <v>101</v>
      </c>
      <c r="BL414" s="5">
        <v>0</v>
      </c>
      <c r="BM414" s="5" t="b">
        <v>0</v>
      </c>
      <c r="BN414" s="8" t="s">
        <v>1477</v>
      </c>
      <c r="CL414" s="80" t="str">
        <f t="shared" si="12"/>
        <v>spansymbolsitalsymi</v>
      </c>
    </row>
    <row r="415" spans="1:90">
      <c r="A415" s="79" t="str">
        <f t="shared" si="13"/>
        <v>span underscore characters (us)</v>
      </c>
      <c r="B415" s="5"/>
      <c r="C415" s="5" t="s">
        <v>875</v>
      </c>
      <c r="D415" s="5" t="s">
        <v>1335</v>
      </c>
      <c r="E415" s="5" t="s">
        <v>299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73" t="s">
        <v>482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5" t="s">
        <v>378</v>
      </c>
      <c r="BK415" s="5" t="s">
        <v>101</v>
      </c>
      <c r="BL415" s="5">
        <v>0</v>
      </c>
      <c r="BM415" s="5" t="b">
        <v>0</v>
      </c>
      <c r="BN415" s="8" t="s">
        <v>1477</v>
      </c>
      <c r="CL415" s="80" t="str">
        <f t="shared" si="12"/>
        <v>spanunderscorecharactersus</v>
      </c>
    </row>
    <row r="416" spans="1:90">
      <c r="A416" s="79" t="str">
        <f t="shared" si="13"/>
        <v>Story dateline (sdl)</v>
      </c>
      <c r="B416" s="5"/>
      <c r="C416" s="5" t="s">
        <v>876</v>
      </c>
      <c r="D416" s="5" t="s">
        <v>1336</v>
      </c>
      <c r="E416" s="5" t="s">
        <v>300</v>
      </c>
      <c r="F416" s="5">
        <v>1</v>
      </c>
      <c r="G416" s="5" t="b">
        <v>0</v>
      </c>
      <c r="H416" s="5">
        <v>1</v>
      </c>
      <c r="I416" s="5" t="s">
        <v>144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3" t="s">
        <v>359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L416" s="80" t="str">
        <f t="shared" si="12"/>
        <v>Storydatelinesdl</v>
      </c>
    </row>
    <row r="417" spans="1:90">
      <c r="A417" s="79" t="str">
        <f t="shared" si="13"/>
        <v>Story location line (sloc)</v>
      </c>
      <c r="B417" s="5"/>
      <c r="C417" s="5" t="s">
        <v>877</v>
      </c>
      <c r="D417" s="5" t="s">
        <v>1337</v>
      </c>
      <c r="E417" s="5" t="s">
        <v>301</v>
      </c>
      <c r="F417" s="5">
        <v>1</v>
      </c>
      <c r="G417" s="5" t="b">
        <v>0</v>
      </c>
      <c r="H417" s="5">
        <v>1</v>
      </c>
      <c r="I417" s="5" t="s">
        <v>144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3" t="s">
        <v>359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L417" s="80" t="str">
        <f t="shared" si="12"/>
        <v>Storylocationlinesloc</v>
      </c>
    </row>
    <row r="418" spans="1:90">
      <c r="A418" s="79" t="str">
        <f t="shared" si="13"/>
        <v>Sub-Recipe Head (srh)</v>
      </c>
      <c r="B418" s="5"/>
      <c r="C418" s="5" t="s">
        <v>878</v>
      </c>
      <c r="D418" s="5" t="s">
        <v>1338</v>
      </c>
      <c r="E418" s="5" t="s">
        <v>303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7" t="s">
        <v>302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L418" s="80" t="str">
        <f t="shared" si="12"/>
        <v>Sub-RecipeHeadsrh</v>
      </c>
    </row>
    <row r="419" spans="1:90">
      <c r="A419" s="79" t="str">
        <f t="shared" si="13"/>
        <v>Sub-Recipe Headnote (srhn)</v>
      </c>
      <c r="B419" s="5"/>
      <c r="C419" s="5" t="s">
        <v>879</v>
      </c>
      <c r="D419" s="5" t="s">
        <v>1339</v>
      </c>
      <c r="E419" s="5" t="s">
        <v>305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7" t="s">
        <v>302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L419" s="80" t="str">
        <f t="shared" si="12"/>
        <v>Sub-RecipeHeadnotesrhn</v>
      </c>
    </row>
    <row r="420" spans="1:90">
      <c r="A420" s="79" t="str">
        <f t="shared" si="13"/>
        <v>Sub-Recipe Ingredients Head (srih)</v>
      </c>
      <c r="B420" s="5"/>
      <c r="C420" s="5" t="s">
        <v>880</v>
      </c>
      <c r="D420" s="5" t="s">
        <v>1340</v>
      </c>
      <c r="E420" s="5" t="s">
        <v>304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7" t="s">
        <v>302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L420" s="80" t="str">
        <f t="shared" si="12"/>
        <v>Sub-RecipeIngredientsHeadsrih</v>
      </c>
    </row>
    <row r="421" spans="1:90">
      <c r="A421" s="79" t="str">
        <f t="shared" si="13"/>
        <v>Sub-Recipe Ingredients List (sri)</v>
      </c>
      <c r="B421" s="5"/>
      <c r="C421" s="5" t="s">
        <v>881</v>
      </c>
      <c r="D421" s="5" t="s">
        <v>1341</v>
      </c>
      <c r="E421" s="5" t="s">
        <v>304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7" t="s">
        <v>302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L421" s="80" t="str">
        <f t="shared" si="12"/>
        <v>Sub-RecipeIngredientsListsri</v>
      </c>
    </row>
    <row r="422" spans="1:90">
      <c r="A422" s="79" t="str">
        <f t="shared" si="13"/>
        <v>Sub-Recipe Level-1 Subhead (srsh1)</v>
      </c>
      <c r="B422" s="5"/>
      <c r="C422" s="5" t="s">
        <v>882</v>
      </c>
      <c r="D422" s="5" t="s">
        <v>1342</v>
      </c>
      <c r="E422" s="5" t="s">
        <v>307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7" t="s">
        <v>302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L422" s="80" t="str">
        <f t="shared" si="12"/>
        <v>Sub-RecipeLevel-1Subheadsrsh1</v>
      </c>
    </row>
    <row r="423" spans="1:90">
      <c r="A423" s="79" t="str">
        <f t="shared" si="13"/>
        <v>Sub-Recipe Level-2 Subhead (srsh2)</v>
      </c>
      <c r="B423" s="5"/>
      <c r="C423" s="5" t="s">
        <v>883</v>
      </c>
      <c r="D423" s="5" t="s">
        <v>1343</v>
      </c>
      <c r="E423" s="5" t="s">
        <v>307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7" t="s">
        <v>302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L423" s="80" t="str">
        <f t="shared" si="12"/>
        <v>Sub-RecipeLevel-2Subheadsrsh2</v>
      </c>
    </row>
    <row r="424" spans="1:90">
      <c r="A424" s="79" t="str">
        <f t="shared" si="13"/>
        <v>Sub-Recipe Level-3 Subhead (srsh3)</v>
      </c>
      <c r="B424" s="5"/>
      <c r="C424" s="5" t="s">
        <v>884</v>
      </c>
      <c r="D424" s="5" t="s">
        <v>1344</v>
      </c>
      <c r="E424" s="5" t="s">
        <v>307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7" t="s">
        <v>302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L424" s="80" t="str">
        <f t="shared" si="12"/>
        <v>Sub-RecipeLevel-3Subheadsrsh3</v>
      </c>
    </row>
    <row r="425" spans="1:90">
      <c r="A425" s="79" t="str">
        <f t="shared" si="13"/>
        <v>Sub-Recipe Level-4 Subhead (srsh4)</v>
      </c>
      <c r="B425" s="5"/>
      <c r="C425" s="5" t="s">
        <v>885</v>
      </c>
      <c r="D425" s="5" t="s">
        <v>1345</v>
      </c>
      <c r="E425" s="5" t="s">
        <v>307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7" t="s">
        <v>302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L425" s="80" t="str">
        <f t="shared" si="12"/>
        <v>Sub-RecipeLevel-4Subheadsrsh4</v>
      </c>
    </row>
    <row r="426" spans="1:90">
      <c r="A426" s="79" t="str">
        <f t="shared" si="13"/>
        <v>Sub-Recipe Level-5 Subhead (srsh5)</v>
      </c>
      <c r="B426" s="5"/>
      <c r="C426" s="5" t="s">
        <v>886</v>
      </c>
      <c r="D426" s="5" t="s">
        <v>1346</v>
      </c>
      <c r="E426" s="5" t="s">
        <v>307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7" t="s">
        <v>302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L426" s="80" t="str">
        <f t="shared" si="12"/>
        <v>Sub-RecipeLevel-5Subheadsrsh5</v>
      </c>
    </row>
    <row r="427" spans="1:90">
      <c r="A427" s="79" t="str">
        <f t="shared" si="13"/>
        <v>Sub-Recipe Procedures (srp)</v>
      </c>
      <c r="B427" s="5"/>
      <c r="C427" s="5" t="s">
        <v>887</v>
      </c>
      <c r="D427" s="5" t="s">
        <v>1347</v>
      </c>
      <c r="E427" s="5" t="s">
        <v>306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7" t="s">
        <v>302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L427" s="80" t="str">
        <f t="shared" si="12"/>
        <v>Sub-RecipeProceduressrp</v>
      </c>
    </row>
    <row r="428" spans="1:90">
      <c r="A428" s="79" t="str">
        <f t="shared" si="13"/>
        <v>Sub-Recipe Procedures No Indent (rp1)</v>
      </c>
      <c r="B428" s="5"/>
      <c r="C428" s="5" t="s">
        <v>888</v>
      </c>
      <c r="D428" s="5" t="s">
        <v>1348</v>
      </c>
      <c r="E428" s="5" t="s">
        <v>307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7" t="s">
        <v>302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L428" s="80" t="str">
        <f t="shared" si="12"/>
        <v>Sub-RecipeProceduresNoIndentrp1</v>
      </c>
    </row>
    <row r="429" spans="1:90">
      <c r="A429" s="79" t="str">
        <f t="shared" si="13"/>
        <v>Sub-Recipe Subhead (srsh)</v>
      </c>
      <c r="B429" s="5"/>
      <c r="C429" s="5" t="s">
        <v>889</v>
      </c>
      <c r="D429" s="5" t="s">
        <v>1349</v>
      </c>
      <c r="E429" s="5" t="s">
        <v>307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7" t="s">
        <v>302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L429" s="80" t="str">
        <f t="shared" si="12"/>
        <v>Sub-RecipeSubheadsrsh</v>
      </c>
    </row>
    <row r="430" spans="1:90">
      <c r="A430" s="79" t="str">
        <f t="shared" si="13"/>
        <v>Sub-Recipe Yield (sry)</v>
      </c>
      <c r="B430" s="5"/>
      <c r="C430" s="5" t="s">
        <v>890</v>
      </c>
      <c r="D430" s="5" t="s">
        <v>1350</v>
      </c>
      <c r="E430" s="5" t="s">
        <v>308</v>
      </c>
      <c r="F430" s="5">
        <v>1</v>
      </c>
      <c r="G430" s="5" t="b">
        <v>0</v>
      </c>
      <c r="H430" s="5">
        <v>1</v>
      </c>
      <c r="I430" s="5" t="s">
        <v>144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7" t="s">
        <v>302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L430" s="80" t="str">
        <f t="shared" si="12"/>
        <v>Sub-RecipeYieldsry</v>
      </c>
    </row>
    <row r="431" spans="1:90">
      <c r="A431" s="79" t="str">
        <f t="shared" si="13"/>
        <v>Table Body Text (tbtx)</v>
      </c>
      <c r="B431" s="5"/>
      <c r="C431" s="5" t="s">
        <v>891</v>
      </c>
      <c r="D431" s="5" t="s">
        <v>1351</v>
      </c>
      <c r="E431" s="5" t="s">
        <v>309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7" t="s">
        <v>375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L431" s="80" t="str">
        <f t="shared" si="12"/>
        <v>TableBodyTexttbtx</v>
      </c>
    </row>
    <row r="432" spans="1:90">
      <c r="A432" s="79" t="str">
        <f t="shared" si="13"/>
        <v>Table Body Text No-Indent (tbtx1)</v>
      </c>
      <c r="B432" s="5"/>
      <c r="C432" s="5" t="s">
        <v>892</v>
      </c>
      <c r="D432" s="5" t="s">
        <v>1352</v>
      </c>
      <c r="E432" s="5" t="s">
        <v>309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7" t="s">
        <v>375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L432" s="80" t="str">
        <f t="shared" si="12"/>
        <v>TableBodyTextNo-Indenttbtx1</v>
      </c>
    </row>
    <row r="433" spans="1:90">
      <c r="A433" s="79" t="str">
        <f t="shared" si="13"/>
        <v>Table Column Head (tch)</v>
      </c>
      <c r="B433" s="5"/>
      <c r="C433" s="5" t="s">
        <v>893</v>
      </c>
      <c r="D433" s="5" t="s">
        <v>1353</v>
      </c>
      <c r="E433" s="5" t="s">
        <v>310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7" t="s">
        <v>375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L433" s="80" t="str">
        <f t="shared" si="12"/>
        <v>TableColumnHeadtch</v>
      </c>
    </row>
    <row r="434" spans="1:90">
      <c r="A434" s="79" t="str">
        <f t="shared" si="13"/>
        <v>Table Footnote (tfn)</v>
      </c>
      <c r="B434" s="5"/>
      <c r="C434" s="5" t="s">
        <v>894</v>
      </c>
      <c r="D434" s="5" t="s">
        <v>1354</v>
      </c>
      <c r="E434" s="5" t="s">
        <v>311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7" t="s">
        <v>375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L434" s="80" t="str">
        <f t="shared" si="12"/>
        <v>TableFootnotetfn</v>
      </c>
    </row>
    <row r="435" spans="1:90">
      <c r="A435" s="79" t="str">
        <f t="shared" si="13"/>
        <v>Table Head (th)</v>
      </c>
      <c r="B435" s="5"/>
      <c r="C435" s="5" t="s">
        <v>895</v>
      </c>
      <c r="D435" s="5" t="s">
        <v>1355</v>
      </c>
      <c r="E435" s="5" t="s">
        <v>310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7" t="s">
        <v>375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L435" s="80" t="str">
        <f t="shared" si="12"/>
        <v>TableHeadth</v>
      </c>
    </row>
    <row r="436" spans="1:90">
      <c r="A436" s="79" t="str">
        <f t="shared" si="13"/>
        <v>Table Number (tn)</v>
      </c>
      <c r="B436" s="5"/>
      <c r="C436" s="5" t="s">
        <v>896</v>
      </c>
      <c r="D436" s="5" t="s">
        <v>1356</v>
      </c>
      <c r="E436" s="5" t="s">
        <v>310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7" t="s">
        <v>375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L436" s="80" t="str">
        <f t="shared" si="12"/>
        <v>TableNumbertn</v>
      </c>
    </row>
    <row r="437" spans="1:90">
      <c r="A437" s="79" t="str">
        <f t="shared" si="13"/>
        <v>Table Source Note (tsn)</v>
      </c>
      <c r="B437" s="5"/>
      <c r="C437" s="5" t="s">
        <v>897</v>
      </c>
      <c r="D437" s="5" t="s">
        <v>1357</v>
      </c>
      <c r="E437" s="5" t="s">
        <v>312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7" t="s">
        <v>375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L437" s="80" t="str">
        <f t="shared" si="12"/>
        <v>TableSourceNotetsn</v>
      </c>
    </row>
    <row r="438" spans="1:90">
      <c r="A438" s="79" t="str">
        <f t="shared" si="13"/>
        <v>Table Subhead (tsh)</v>
      </c>
      <c r="B438" s="5"/>
      <c r="C438" s="5" t="s">
        <v>898</v>
      </c>
      <c r="D438" s="5" t="s">
        <v>1358</v>
      </c>
      <c r="E438" s="5" t="s">
        <v>310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7" t="s">
        <v>375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L438" s="80" t="str">
        <f t="shared" si="12"/>
        <v>TableSubheadtsh</v>
      </c>
    </row>
    <row r="439" spans="1:90">
      <c r="A439" s="79" t="str">
        <f t="shared" si="13"/>
        <v>Teaser Opening Text (totx)</v>
      </c>
      <c r="B439" s="5"/>
      <c r="C439" s="5" t="s">
        <v>899</v>
      </c>
      <c r="D439" s="5" t="s">
        <v>1359</v>
      </c>
      <c r="E439" s="5" t="s">
        <v>313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8" t="s">
        <v>314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L439" s="80" t="str">
        <f t="shared" si="12"/>
        <v>TeaserOpeningTexttotx</v>
      </c>
    </row>
    <row r="440" spans="1:90">
      <c r="A440" s="79" t="str">
        <f t="shared" si="13"/>
        <v>Teaser Opening Text No-Indent (totx1)</v>
      </c>
      <c r="B440" s="5"/>
      <c r="C440" s="5" t="s">
        <v>900</v>
      </c>
      <c r="D440" s="5" t="s">
        <v>1360</v>
      </c>
      <c r="E440" s="5" t="s">
        <v>313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8" t="s">
        <v>314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L440" s="80" t="str">
        <f t="shared" si="12"/>
        <v>TeaserOpeningTextNo-Indenttotx1</v>
      </c>
    </row>
    <row r="441" spans="1:90">
      <c r="A441" s="79" t="str">
        <f t="shared" si="13"/>
        <v>Text - Computer Type (com)</v>
      </c>
      <c r="B441" s="5"/>
      <c r="C441" s="5" t="s">
        <v>901</v>
      </c>
      <c r="D441" s="5" t="s">
        <v>1361</v>
      </c>
      <c r="E441" s="5" t="s">
        <v>316</v>
      </c>
      <c r="F441" s="5">
        <v>1</v>
      </c>
      <c r="G441" s="5" t="b">
        <v>0</v>
      </c>
      <c r="H441" s="5">
        <v>1</v>
      </c>
      <c r="I441" s="5" t="s">
        <v>144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3" t="s">
        <v>359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L441" s="80" t="str">
        <f t="shared" si="12"/>
        <v>Text-ComputerTypecom</v>
      </c>
    </row>
    <row r="442" spans="1:90">
      <c r="A442" s="79" t="str">
        <f t="shared" si="13"/>
        <v>Text - Computer Type No-Indent (com1)</v>
      </c>
      <c r="B442" s="5"/>
      <c r="C442" s="5" t="s">
        <v>902</v>
      </c>
      <c r="D442" s="5" t="s">
        <v>1362</v>
      </c>
      <c r="E442" s="5" t="s">
        <v>316</v>
      </c>
      <c r="F442" s="5">
        <v>1</v>
      </c>
      <c r="G442" s="5" t="b">
        <v>0</v>
      </c>
      <c r="H442" s="5">
        <v>1</v>
      </c>
      <c r="I442" s="5" t="s">
        <v>144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3" t="s">
        <v>359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L442" s="80" t="str">
        <f t="shared" si="12"/>
        <v>Text-ComputerTypeNo-Indentcom1</v>
      </c>
    </row>
    <row r="443" spans="1:90">
      <c r="A443" s="79" t="str">
        <f t="shared" si="13"/>
        <v>Text - Dialogue (dia)</v>
      </c>
      <c r="B443" s="5"/>
      <c r="C443" s="5" t="s">
        <v>903</v>
      </c>
      <c r="D443" s="5" t="s">
        <v>1363</v>
      </c>
      <c r="E443" s="5" t="s">
        <v>317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3" t="s">
        <v>359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L443" s="80" t="str">
        <f t="shared" si="12"/>
        <v>Text-Dialoguedia</v>
      </c>
    </row>
    <row r="444" spans="1:90">
      <c r="A444" s="79" t="str">
        <f t="shared" si="13"/>
        <v>Text - Narrative (nar)</v>
      </c>
      <c r="B444" s="5"/>
      <c r="C444" s="5" t="s">
        <v>904</v>
      </c>
      <c r="D444" s="5" t="s">
        <v>1364</v>
      </c>
      <c r="E444" s="5" t="s">
        <v>318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3" t="s">
        <v>359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L444" s="80" t="str">
        <f t="shared" si="12"/>
        <v>Text-Narrativenar</v>
      </c>
    </row>
    <row r="445" spans="1:90">
      <c r="A445" s="79" t="str">
        <f t="shared" si="13"/>
        <v>Text - Narrative No-Indent (nar1)</v>
      </c>
      <c r="B445" s="5"/>
      <c r="C445" s="5" t="s">
        <v>905</v>
      </c>
      <c r="D445" s="5" t="s">
        <v>1365</v>
      </c>
      <c r="E445" s="5" t="s">
        <v>318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3" t="s">
        <v>359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L445" s="80" t="str">
        <f t="shared" si="12"/>
        <v>Text-NarrativeNo-Indentnar1</v>
      </c>
    </row>
    <row r="446" spans="1:90">
      <c r="A446" s="79" t="str">
        <f t="shared" si="13"/>
        <v>Text - Standard (tx)</v>
      </c>
      <c r="B446" s="5"/>
      <c r="C446" s="5" t="s">
        <v>906</v>
      </c>
      <c r="D446" s="5" t="s">
        <v>1366</v>
      </c>
      <c r="E446" s="5" t="s">
        <v>234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73" t="s">
        <v>486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3" t="s">
        <v>359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L446" s="80" t="str">
        <f t="shared" si="12"/>
        <v>Text-Standardtx</v>
      </c>
    </row>
    <row r="447" spans="1:90">
      <c r="A447" s="79" t="str">
        <f t="shared" si="13"/>
        <v>Text - Standard ALT (atx)</v>
      </c>
      <c r="B447" s="5"/>
      <c r="C447" s="5" t="s">
        <v>907</v>
      </c>
      <c r="D447" s="5" t="s">
        <v>1367</v>
      </c>
      <c r="E447" s="5" t="s">
        <v>319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3" t="s">
        <v>359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L447" s="80" t="str">
        <f t="shared" si="12"/>
        <v>Text-StandardALTatx</v>
      </c>
    </row>
    <row r="448" spans="1:90">
      <c r="A448" s="79" t="str">
        <f t="shared" si="13"/>
        <v>Text - Standard Space After (tx#)</v>
      </c>
      <c r="B448" s="5"/>
      <c r="C448" s="5" t="s">
        <v>908</v>
      </c>
      <c r="D448" s="5" t="s">
        <v>1368</v>
      </c>
      <c r="E448" s="5" t="s">
        <v>319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3" t="s">
        <v>359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L448" s="80" t="str">
        <f t="shared" si="12"/>
        <v>Text-StandardSpaceAftertx</v>
      </c>
    </row>
    <row r="449" spans="1:90">
      <c r="A449" s="79" t="str">
        <f t="shared" si="13"/>
        <v>Text - Standard Space Around (#tx#)</v>
      </c>
      <c r="B449" s="5"/>
      <c r="C449" s="5" t="s">
        <v>909</v>
      </c>
      <c r="D449" s="5" t="s">
        <v>1369</v>
      </c>
      <c r="E449" s="5" t="s">
        <v>234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3" t="s">
        <v>359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L449" s="80" t="str">
        <f t="shared" si="12"/>
        <v>Text-StandardSpaceAroundtx</v>
      </c>
    </row>
    <row r="450" spans="1:90">
      <c r="A450" s="79" t="str">
        <f t="shared" si="13"/>
        <v>Text - Standard Space Before (#tx)</v>
      </c>
      <c r="B450" s="5"/>
      <c r="C450" s="5" t="s">
        <v>910</v>
      </c>
      <c r="D450" s="5" t="s">
        <v>1370</v>
      </c>
      <c r="E450" s="5" t="s">
        <v>234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3" t="s">
        <v>359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L450" s="80" t="str">
        <f t="shared" ref="CL450:CL513" si="14">SUBSTITUTE(SUBSTITUTE(SUBSTITUTE(SUBSTITUTE(A450, "(",""),")","")," ",""),"#","")</f>
        <v>Text-StandardSpaceBeforetx</v>
      </c>
    </row>
    <row r="451" spans="1:90">
      <c r="A451" s="79" t="str">
        <f t="shared" ref="A451:A514" si="15">IF($D451="","",TRIM($C451)&amp;" "&amp;CHAR(40)&amp;TRIM($D451)&amp;CHAR(41))</f>
        <v>Text - Std No-Indent (tx1)</v>
      </c>
      <c r="B451" s="5"/>
      <c r="C451" s="5" t="s">
        <v>911</v>
      </c>
      <c r="D451" s="5" t="s">
        <v>1371</v>
      </c>
      <c r="E451" s="5" t="s">
        <v>234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73" t="s">
        <v>402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3" t="s">
        <v>359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L451" s="80" t="str">
        <f t="shared" si="14"/>
        <v>Text-StdNo-Indenttx1</v>
      </c>
    </row>
    <row r="452" spans="1:90">
      <c r="A452" s="79" t="str">
        <f t="shared" si="15"/>
        <v>Text - Std No-Indent ALT (atx1)</v>
      </c>
      <c r="B452" s="5"/>
      <c r="C452" s="5" t="s">
        <v>912</v>
      </c>
      <c r="D452" s="5" t="s">
        <v>1372</v>
      </c>
      <c r="E452" s="5" t="s">
        <v>319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3" t="s">
        <v>359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L452" s="80" t="str">
        <f t="shared" si="14"/>
        <v>Text-StdNo-IndentALTatx1</v>
      </c>
    </row>
    <row r="453" spans="1:90">
      <c r="A453" s="79" t="str">
        <f t="shared" si="15"/>
        <v>Text - Std No-Indent Space After (tx1#)</v>
      </c>
      <c r="B453" s="5"/>
      <c r="C453" s="5" t="s">
        <v>913</v>
      </c>
      <c r="D453" s="5" t="s">
        <v>1373</v>
      </c>
      <c r="E453" s="5" t="s">
        <v>234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3" t="s">
        <v>359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L453" s="80" t="str">
        <f t="shared" si="14"/>
        <v>Text-StdNo-IndentSpaceAftertx1</v>
      </c>
    </row>
    <row r="454" spans="1:90">
      <c r="A454" s="79" t="str">
        <f t="shared" si="15"/>
        <v>Text - Std No-Indent Space Around (#tx1#)</v>
      </c>
      <c r="B454" s="5"/>
      <c r="C454" s="5" t="s">
        <v>914</v>
      </c>
      <c r="D454" s="5" t="s">
        <v>1374</v>
      </c>
      <c r="E454" s="5" t="s">
        <v>234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3" t="s">
        <v>359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L454" s="80" t="str">
        <f t="shared" si="14"/>
        <v>Text-StdNo-IndentSpaceAroundtx1</v>
      </c>
    </row>
    <row r="455" spans="1:90">
      <c r="A455" s="79" t="str">
        <f t="shared" si="15"/>
        <v>Text - Std No-Indent Space Before (#tx1)</v>
      </c>
      <c r="B455" s="5"/>
      <c r="C455" s="5" t="s">
        <v>915</v>
      </c>
      <c r="D455" s="5" t="s">
        <v>1375</v>
      </c>
      <c r="E455" s="5" t="s">
        <v>234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3" t="s">
        <v>359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L455" s="80" t="str">
        <f t="shared" si="14"/>
        <v>Text-StdNo-IndentSpaceBeforetx1</v>
      </c>
    </row>
    <row r="456" spans="1:90">
      <c r="A456" s="79" t="str">
        <f t="shared" si="15"/>
        <v>Titlepage Author Name (au)</v>
      </c>
      <c r="B456" s="5"/>
      <c r="C456" s="5" t="s">
        <v>916</v>
      </c>
      <c r="D456" s="5" t="s">
        <v>1376</v>
      </c>
      <c r="E456" s="5" t="s">
        <v>323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3" t="s">
        <v>365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L456" s="80" t="str">
        <f t="shared" si="14"/>
        <v>TitlepageAuthorNameau</v>
      </c>
    </row>
    <row r="457" spans="1:90">
      <c r="A457" s="79" t="str">
        <f t="shared" si="15"/>
        <v>Titlepage Book Subtitle (stit)</v>
      </c>
      <c r="B457" s="5"/>
      <c r="C457" s="5" t="s">
        <v>917</v>
      </c>
      <c r="D457" s="5" t="s">
        <v>1377</v>
      </c>
      <c r="E457" s="5" t="s">
        <v>320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3" t="s">
        <v>365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L457" s="80" t="str">
        <f t="shared" si="14"/>
        <v>TitlepageBookSubtitlestit</v>
      </c>
    </row>
    <row r="458" spans="1:90">
      <c r="A458" s="79" t="str">
        <f t="shared" si="15"/>
        <v>Titlepage Book Title (tit)</v>
      </c>
      <c r="B458" s="5"/>
      <c r="C458" s="5" t="s">
        <v>918</v>
      </c>
      <c r="D458" s="5" t="s">
        <v>1378</v>
      </c>
      <c r="E458" s="5" t="s">
        <v>321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3" t="s">
        <v>365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1171</v>
      </c>
      <c r="BT458" s="8" t="b">
        <v>1</v>
      </c>
      <c r="CL458" s="80" t="str">
        <f t="shared" si="14"/>
        <v>TitlepageBookTitletit</v>
      </c>
    </row>
    <row r="459" spans="1:90">
      <c r="A459" s="79" t="str">
        <f t="shared" si="15"/>
        <v>Titlepage Cities (cit)</v>
      </c>
      <c r="B459" s="5"/>
      <c r="C459" s="5" t="s">
        <v>919</v>
      </c>
      <c r="D459" s="5" t="s">
        <v>1379</v>
      </c>
      <c r="E459" s="5" t="s">
        <v>322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3" t="s">
        <v>365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L459" s="80" t="str">
        <f t="shared" si="14"/>
        <v>TitlepageCitiescit</v>
      </c>
    </row>
    <row r="460" spans="1:90">
      <c r="A460" s="79" t="str">
        <f t="shared" si="15"/>
        <v>Titlepage Contributor Name (con)</v>
      </c>
      <c r="B460" s="5"/>
      <c r="C460" s="5" t="s">
        <v>920</v>
      </c>
      <c r="D460" s="5" t="s">
        <v>1380</v>
      </c>
      <c r="E460" s="5" t="s">
        <v>323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3" t="s">
        <v>365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L460" s="80" t="str">
        <f t="shared" si="14"/>
        <v>TitlepageContributorNamecon</v>
      </c>
    </row>
    <row r="461" spans="1:90">
      <c r="A461" s="79" t="str">
        <f t="shared" si="15"/>
        <v>Titlepage Imprint Line (imp)</v>
      </c>
      <c r="B461" s="5"/>
      <c r="C461" s="5" t="s">
        <v>921</v>
      </c>
      <c r="D461" s="5" t="s">
        <v>1381</v>
      </c>
      <c r="E461" s="5" t="s">
        <v>322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3" t="s">
        <v>365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L461" s="80" t="str">
        <f t="shared" si="14"/>
        <v>TitlepageImprintLineimp</v>
      </c>
    </row>
    <row r="462" spans="1:90">
      <c r="A462" s="79" t="str">
        <f t="shared" si="15"/>
        <v>Titlepage Logo (logo)</v>
      </c>
      <c r="B462" s="5"/>
      <c r="C462" s="5" t="s">
        <v>922</v>
      </c>
      <c r="D462" s="5" t="s">
        <v>1382</v>
      </c>
      <c r="E462" s="5" t="s">
        <v>1461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L462" s="80" t="str">
        <f t="shared" si="14"/>
        <v>TitlepageLogologo</v>
      </c>
    </row>
    <row r="463" spans="1:90">
      <c r="A463" s="79" t="str">
        <f t="shared" si="15"/>
        <v>Titlepage Publisher Name (pub)</v>
      </c>
      <c r="B463" s="5"/>
      <c r="C463" s="5" t="s">
        <v>923</v>
      </c>
      <c r="D463" s="5" t="s">
        <v>1383</v>
      </c>
      <c r="E463" s="5" t="s">
        <v>322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3" t="s">
        <v>365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L463" s="80" t="str">
        <f t="shared" si="14"/>
        <v>TitlepagePublisherNamepub</v>
      </c>
    </row>
    <row r="464" spans="1:90">
      <c r="A464" s="79" t="str">
        <f t="shared" si="15"/>
        <v>Titlepage Reading Line (rl)</v>
      </c>
      <c r="B464" s="5"/>
      <c r="C464" s="5" t="s">
        <v>924</v>
      </c>
      <c r="D464" s="5" t="s">
        <v>1384</v>
      </c>
      <c r="E464" s="5" t="s">
        <v>324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3" t="s">
        <v>365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L464" s="80" t="str">
        <f t="shared" si="14"/>
        <v>TitlepageReadingLinerl</v>
      </c>
    </row>
    <row r="465" spans="1:90">
      <c r="A465" s="79" t="str">
        <f t="shared" si="15"/>
        <v>Titlepage Series Title (ser)</v>
      </c>
      <c r="B465" s="5"/>
      <c r="C465" s="5" t="s">
        <v>925</v>
      </c>
      <c r="D465" s="5" t="s">
        <v>1385</v>
      </c>
      <c r="E465" s="5" t="s">
        <v>320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3" t="s">
        <v>365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L465" s="80" t="str">
        <f t="shared" si="14"/>
        <v>TitlepageSeriesTitleser</v>
      </c>
    </row>
    <row r="466" spans="1:90">
      <c r="A466" s="79" t="str">
        <f t="shared" si="15"/>
        <v>Titlepage Translator Name (tran)</v>
      </c>
      <c r="B466" s="5"/>
      <c r="C466" s="5" t="s">
        <v>926</v>
      </c>
      <c r="D466" s="5" t="s">
        <v>1386</v>
      </c>
      <c r="E466" s="5" t="s">
        <v>323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3" t="s">
        <v>365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L466" s="80" t="str">
        <f t="shared" si="14"/>
        <v>TitlepageTranslatorNametran</v>
      </c>
    </row>
    <row r="467" spans="1:90">
      <c r="A467" s="79" t="str">
        <f t="shared" si="15"/>
        <v>TOC Author (cau)</v>
      </c>
      <c r="B467" s="5"/>
      <c r="C467" s="5" t="s">
        <v>927</v>
      </c>
      <c r="D467" s="5" t="s">
        <v>1387</v>
      </c>
      <c r="E467" s="5" t="s">
        <v>328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9" t="s">
        <v>362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L467" s="80" t="str">
        <f t="shared" si="14"/>
        <v>TOCAuthorcau</v>
      </c>
    </row>
    <row r="468" spans="1:90">
      <c r="A468" s="79" t="str">
        <f t="shared" si="15"/>
        <v>TOC Backmatter Head (cbmh)</v>
      </c>
      <c r="B468" s="5"/>
      <c r="C468" s="5" t="s">
        <v>928</v>
      </c>
      <c r="D468" s="5" t="s">
        <v>1388</v>
      </c>
      <c r="E468" s="5" t="s">
        <v>326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9" t="s">
        <v>362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L468" s="80" t="str">
        <f t="shared" si="14"/>
        <v>TOCBackmatterHeadcbmh</v>
      </c>
    </row>
    <row r="469" spans="1:90">
      <c r="A469" s="79" t="str">
        <f t="shared" si="15"/>
        <v>TOC Chapter Number (ccn)</v>
      </c>
      <c r="B469" s="5"/>
      <c r="C469" s="5" t="s">
        <v>929</v>
      </c>
      <c r="D469" s="5" t="s">
        <v>1389</v>
      </c>
      <c r="E469" s="5" t="s">
        <v>328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9" t="s">
        <v>362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L469" s="80" t="str">
        <f t="shared" si="14"/>
        <v>TOCChapterNumberccn</v>
      </c>
    </row>
    <row r="470" spans="1:90">
      <c r="A470" s="79" t="str">
        <f t="shared" si="15"/>
        <v>TOC Chapter Subtitle (ccst)</v>
      </c>
      <c r="B470" s="5"/>
      <c r="C470" s="5" t="s">
        <v>930</v>
      </c>
      <c r="D470" s="5" t="s">
        <v>1390</v>
      </c>
      <c r="E470" s="5" t="s">
        <v>327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9" t="s">
        <v>362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L470" s="80" t="str">
        <f t="shared" si="14"/>
        <v>TOCChapterSubtitleccst</v>
      </c>
    </row>
    <row r="471" spans="1:90">
      <c r="A471" s="79" t="str">
        <f t="shared" si="15"/>
        <v>TOC Chapter Title (cct)</v>
      </c>
      <c r="B471" s="5"/>
      <c r="C471" s="5" t="s">
        <v>931</v>
      </c>
      <c r="D471" s="5" t="s">
        <v>1391</v>
      </c>
      <c r="E471" s="5" t="s">
        <v>328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9" t="s">
        <v>362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L471" s="80" t="str">
        <f t="shared" si="14"/>
        <v>TOCChapterTitlecct</v>
      </c>
    </row>
    <row r="472" spans="1:90">
      <c r="A472" s="79" t="str">
        <f t="shared" si="15"/>
        <v>TOC Frontmatter Head (cfmh)</v>
      </c>
      <c r="B472" s="5"/>
      <c r="C472" s="5" t="s">
        <v>932</v>
      </c>
      <c r="D472" s="5" t="s">
        <v>1392</v>
      </c>
      <c r="E472" s="5" t="s">
        <v>325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9" t="s">
        <v>362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L472" s="80" t="str">
        <f t="shared" si="14"/>
        <v>TOCFrontmatterHeadcfmh</v>
      </c>
    </row>
    <row r="473" spans="1:90">
      <c r="A473" s="79" t="str">
        <f t="shared" si="15"/>
        <v>TOC Level-1 Chapter Head (ch1)</v>
      </c>
      <c r="B473" s="5"/>
      <c r="C473" s="5" t="s">
        <v>933</v>
      </c>
      <c r="D473" s="5" t="s">
        <v>1393</v>
      </c>
      <c r="E473" s="5" t="s">
        <v>329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9" t="s">
        <v>362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L473" s="80" t="str">
        <f t="shared" si="14"/>
        <v>TOCLevel-1ChapterHeadch1</v>
      </c>
    </row>
    <row r="474" spans="1:90">
      <c r="A474" s="79" t="str">
        <f t="shared" si="15"/>
        <v>TOC Page Number (cnum)</v>
      </c>
      <c r="B474" s="5"/>
      <c r="C474" s="5" t="s">
        <v>934</v>
      </c>
      <c r="D474" s="5" t="s">
        <v>1394</v>
      </c>
      <c r="E474" s="5" t="s">
        <v>330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9" t="s">
        <v>362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L474" s="80" t="str">
        <f t="shared" si="14"/>
        <v>TOCPageNumbercnum</v>
      </c>
    </row>
    <row r="475" spans="1:90">
      <c r="A475" s="79" t="str">
        <f t="shared" si="15"/>
        <v>TOC Part Number (cpn)</v>
      </c>
      <c r="B475" s="5"/>
      <c r="C475" s="5" t="s">
        <v>935</v>
      </c>
      <c r="D475" s="5" t="s">
        <v>1395</v>
      </c>
      <c r="E475" s="5" t="s">
        <v>331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9" t="s">
        <v>362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L475" s="80" t="str">
        <f t="shared" si="14"/>
        <v>TOCPartNumbercpn</v>
      </c>
    </row>
    <row r="476" spans="1:90">
      <c r="A476" s="79" t="str">
        <f t="shared" si="15"/>
        <v>TOC Part Title (cpt)</v>
      </c>
      <c r="B476" s="5"/>
      <c r="C476" s="5" t="s">
        <v>936</v>
      </c>
      <c r="D476" s="5" t="s">
        <v>1396</v>
      </c>
      <c r="E476" s="5" t="s">
        <v>331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9" t="s">
        <v>362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L476" s="80" t="str">
        <f t="shared" si="14"/>
        <v>TOCPartTitlecpt</v>
      </c>
    </row>
    <row r="477" spans="1:90">
      <c r="A477" s="79" t="str">
        <f t="shared" si="15"/>
        <v>Verse Run-in Text (vrtx)</v>
      </c>
      <c r="B477" s="5"/>
      <c r="C477" s="5" t="s">
        <v>937</v>
      </c>
      <c r="D477" s="5" t="s">
        <v>1397</v>
      </c>
      <c r="E477" s="5" t="s">
        <v>332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6" t="s">
        <v>238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1323</v>
      </c>
      <c r="BR477" s="8" t="s">
        <v>1479</v>
      </c>
      <c r="BW477" s="8" t="b">
        <v>1</v>
      </c>
      <c r="CL477" s="80" t="str">
        <f t="shared" si="14"/>
        <v>VerseRun-inTextvrtx</v>
      </c>
    </row>
    <row r="478" spans="1:90">
      <c r="A478" s="79" t="str">
        <f t="shared" si="15"/>
        <v>Verse Run-in Text No-Indent (vrtx1)</v>
      </c>
      <c r="B478" s="5"/>
      <c r="C478" s="5" t="s">
        <v>938</v>
      </c>
      <c r="D478" s="5" t="s">
        <v>1398</v>
      </c>
      <c r="E478" s="5" t="s">
        <v>332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6" t="s">
        <v>238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1323</v>
      </c>
      <c r="BR478" s="8" t="s">
        <v>1479</v>
      </c>
      <c r="BW478" s="8" t="b">
        <v>1</v>
      </c>
      <c r="CL478" s="80" t="str">
        <f t="shared" si="14"/>
        <v>VerseRun-inTextNo-Indentvrtx1</v>
      </c>
    </row>
    <row r="479" spans="1:90">
      <c r="A479" s="79" t="str">
        <f t="shared" si="15"/>
        <v>Verse Text (vtx)</v>
      </c>
      <c r="B479" s="5"/>
      <c r="C479" s="5" t="s">
        <v>939</v>
      </c>
      <c r="D479" s="5" t="s">
        <v>1399</v>
      </c>
      <c r="E479" s="5" t="s">
        <v>333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6" t="s">
        <v>238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1323</v>
      </c>
      <c r="BR479" s="8" t="s">
        <v>1479</v>
      </c>
      <c r="BW479" s="8" t="b">
        <v>1</v>
      </c>
      <c r="CL479" s="80" t="str">
        <f t="shared" si="14"/>
        <v>VerseTextvtx</v>
      </c>
    </row>
    <row r="480" spans="1:90">
      <c r="A480" s="79" t="str">
        <f t="shared" si="15"/>
        <v>Volume Number (voln)</v>
      </c>
      <c r="B480" s="5"/>
      <c r="C480" s="5" t="s">
        <v>940</v>
      </c>
      <c r="D480" s="5" t="s">
        <v>1400</v>
      </c>
      <c r="E480" s="5" t="s">
        <v>334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8" t="s">
        <v>137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1171</v>
      </c>
      <c r="BT480" s="8" t="b">
        <v>1</v>
      </c>
      <c r="CL480" s="80" t="str">
        <f t="shared" si="14"/>
        <v>VolumeNumbervoln</v>
      </c>
    </row>
    <row r="481" spans="1:90">
      <c r="A481" s="79" t="str">
        <f t="shared" si="15"/>
        <v>Volume Title (volt)</v>
      </c>
      <c r="B481" s="5"/>
      <c r="C481" s="5" t="s">
        <v>941</v>
      </c>
      <c r="D481" s="5" t="s">
        <v>1401</v>
      </c>
      <c r="E481" s="5" t="s">
        <v>334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8" t="s">
        <v>137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1171</v>
      </c>
      <c r="BT481" s="8" t="b">
        <v>1</v>
      </c>
      <c r="CL481" s="80" t="str">
        <f t="shared" si="14"/>
        <v>VolumeTitlevolt</v>
      </c>
    </row>
    <row r="482" spans="1:90">
      <c r="A482" s="79" t="str">
        <f t="shared" si="15"/>
        <v/>
      </c>
      <c r="CL482" s="80" t="str">
        <f t="shared" si="14"/>
        <v/>
      </c>
    </row>
    <row r="483" spans="1:90">
      <c r="A483" s="79" t="str">
        <f t="shared" si="15"/>
        <v/>
      </c>
      <c r="CL483" s="80" t="str">
        <f t="shared" si="14"/>
        <v/>
      </c>
    </row>
    <row r="484" spans="1:90">
      <c r="A484" s="79" t="str">
        <f t="shared" si="15"/>
        <v/>
      </c>
      <c r="CL484" s="80" t="str">
        <f t="shared" si="14"/>
        <v/>
      </c>
    </row>
    <row r="485" spans="1:90">
      <c r="A485" s="79" t="str">
        <f t="shared" si="15"/>
        <v/>
      </c>
      <c r="CL485" s="80" t="str">
        <f t="shared" si="14"/>
        <v/>
      </c>
    </row>
    <row r="486" spans="1:90">
      <c r="A486" s="79" t="str">
        <f t="shared" si="15"/>
        <v/>
      </c>
      <c r="CL486" s="80" t="str">
        <f t="shared" si="14"/>
        <v/>
      </c>
    </row>
    <row r="487" spans="1:90">
      <c r="A487" s="79" t="str">
        <f t="shared" si="15"/>
        <v/>
      </c>
      <c r="CL487" s="80" t="str">
        <f t="shared" si="14"/>
        <v/>
      </c>
    </row>
    <row r="488" spans="1:90">
      <c r="A488" s="79" t="str">
        <f t="shared" si="15"/>
        <v/>
      </c>
      <c r="CL488" s="80" t="str">
        <f t="shared" si="14"/>
        <v/>
      </c>
    </row>
    <row r="489" spans="1:90">
      <c r="A489" s="79" t="str">
        <f t="shared" si="15"/>
        <v/>
      </c>
      <c r="CL489" s="80" t="str">
        <f t="shared" si="14"/>
        <v/>
      </c>
    </row>
    <row r="490" spans="1:90">
      <c r="A490" s="79" t="str">
        <f t="shared" si="15"/>
        <v/>
      </c>
      <c r="CL490" s="80" t="str">
        <f t="shared" si="14"/>
        <v/>
      </c>
    </row>
    <row r="491" spans="1:90">
      <c r="A491" s="79" t="str">
        <f t="shared" si="15"/>
        <v/>
      </c>
      <c r="CL491" s="80" t="str">
        <f t="shared" si="14"/>
        <v/>
      </c>
    </row>
    <row r="492" spans="1:90">
      <c r="A492" s="79" t="str">
        <f t="shared" si="15"/>
        <v/>
      </c>
      <c r="CL492" s="80" t="str">
        <f t="shared" si="14"/>
        <v/>
      </c>
    </row>
    <row r="493" spans="1:90">
      <c r="A493" s="79" t="str">
        <f t="shared" si="15"/>
        <v/>
      </c>
      <c r="CL493" s="80" t="str">
        <f t="shared" si="14"/>
        <v/>
      </c>
    </row>
    <row r="494" spans="1:90">
      <c r="A494" s="79" t="str">
        <f t="shared" si="15"/>
        <v/>
      </c>
      <c r="CL494" s="80" t="str">
        <f t="shared" si="14"/>
        <v/>
      </c>
    </row>
    <row r="495" spans="1:90">
      <c r="A495" s="79" t="str">
        <f t="shared" si="15"/>
        <v/>
      </c>
      <c r="CL495" s="80" t="str">
        <f t="shared" si="14"/>
        <v/>
      </c>
    </row>
    <row r="496" spans="1:90">
      <c r="A496" s="79" t="str">
        <f t="shared" si="15"/>
        <v/>
      </c>
      <c r="CL496" s="80" t="str">
        <f t="shared" si="14"/>
        <v/>
      </c>
    </row>
    <row r="497" spans="1:90">
      <c r="A497" s="79" t="str">
        <f t="shared" si="15"/>
        <v/>
      </c>
      <c r="CL497" s="80" t="str">
        <f t="shared" si="14"/>
        <v/>
      </c>
    </row>
    <row r="498" spans="1:90">
      <c r="A498" s="79" t="str">
        <f t="shared" si="15"/>
        <v/>
      </c>
      <c r="CL498" s="80" t="str">
        <f t="shared" si="14"/>
        <v/>
      </c>
    </row>
    <row r="499" spans="1:90">
      <c r="A499" s="79" t="str">
        <f t="shared" si="15"/>
        <v/>
      </c>
      <c r="CL499" s="80" t="str">
        <f t="shared" si="14"/>
        <v/>
      </c>
    </row>
    <row r="500" spans="1:90">
      <c r="A500" s="79" t="str">
        <f t="shared" si="15"/>
        <v/>
      </c>
      <c r="CL500" s="80" t="str">
        <f t="shared" si="14"/>
        <v/>
      </c>
    </row>
    <row r="501" spans="1:90">
      <c r="A501" s="79" t="str">
        <f t="shared" si="15"/>
        <v/>
      </c>
      <c r="CL501" s="80" t="str">
        <f t="shared" si="14"/>
        <v/>
      </c>
    </row>
    <row r="502" spans="1:90">
      <c r="A502" s="79" t="str">
        <f t="shared" si="15"/>
        <v/>
      </c>
      <c r="CL502" s="80" t="str">
        <f t="shared" si="14"/>
        <v/>
      </c>
    </row>
    <row r="503" spans="1:90">
      <c r="A503" s="79" t="str">
        <f t="shared" si="15"/>
        <v/>
      </c>
      <c r="CL503" s="80" t="str">
        <f t="shared" si="14"/>
        <v/>
      </c>
    </row>
    <row r="504" spans="1:90">
      <c r="A504" s="79" t="str">
        <f t="shared" si="15"/>
        <v/>
      </c>
      <c r="CL504" s="80" t="str">
        <f t="shared" si="14"/>
        <v/>
      </c>
    </row>
    <row r="505" spans="1:90">
      <c r="A505" s="79" t="str">
        <f t="shared" si="15"/>
        <v/>
      </c>
      <c r="CL505" s="80" t="str">
        <f t="shared" si="14"/>
        <v/>
      </c>
    </row>
    <row r="506" spans="1:90">
      <c r="A506" s="79" t="str">
        <f t="shared" si="15"/>
        <v/>
      </c>
      <c r="CL506" s="80" t="str">
        <f t="shared" si="14"/>
        <v/>
      </c>
    </row>
    <row r="507" spans="1:90">
      <c r="A507" s="79" t="str">
        <f t="shared" si="15"/>
        <v/>
      </c>
      <c r="CL507" s="80" t="str">
        <f t="shared" si="14"/>
        <v/>
      </c>
    </row>
    <row r="508" spans="1:90">
      <c r="A508" s="79" t="str">
        <f t="shared" si="15"/>
        <v/>
      </c>
      <c r="CL508" s="80" t="str">
        <f t="shared" si="14"/>
        <v/>
      </c>
    </row>
    <row r="509" spans="1:90">
      <c r="A509" s="79" t="str">
        <f t="shared" si="15"/>
        <v/>
      </c>
      <c r="CL509" s="80" t="str">
        <f t="shared" si="14"/>
        <v/>
      </c>
    </row>
    <row r="510" spans="1:90">
      <c r="A510" s="79" t="str">
        <f t="shared" si="15"/>
        <v/>
      </c>
      <c r="CL510" s="80" t="str">
        <f t="shared" si="14"/>
        <v/>
      </c>
    </row>
    <row r="511" spans="1:90">
      <c r="A511" s="79" t="str">
        <f t="shared" si="15"/>
        <v/>
      </c>
      <c r="CL511" s="80" t="str">
        <f t="shared" si="14"/>
        <v/>
      </c>
    </row>
    <row r="512" spans="1:90">
      <c r="A512" s="79" t="str">
        <f t="shared" si="15"/>
        <v/>
      </c>
      <c r="CL512" s="80" t="str">
        <f t="shared" si="14"/>
        <v/>
      </c>
    </row>
    <row r="513" spans="1:90">
      <c r="A513" s="79" t="str">
        <f t="shared" si="15"/>
        <v/>
      </c>
      <c r="CL513" s="80" t="str">
        <f t="shared" si="14"/>
        <v/>
      </c>
    </row>
    <row r="514" spans="1:90">
      <c r="A514" s="79" t="str">
        <f t="shared" si="15"/>
        <v/>
      </c>
      <c r="CL514" s="80" t="str">
        <f t="shared" ref="CL514:CL518" si="16">SUBSTITUTE(SUBSTITUTE(SUBSTITUTE(SUBSTITUTE(A514, "(",""),")","")," ",""),"#","")</f>
        <v/>
      </c>
    </row>
    <row r="515" spans="1:90">
      <c r="A515" s="79" t="str">
        <f t="shared" ref="A515:A518" si="17">IF($D515="","",TRIM($C515)&amp;" "&amp;CHAR(40)&amp;TRIM($D515)&amp;CHAR(41))</f>
        <v/>
      </c>
      <c r="CL515" s="80" t="str">
        <f t="shared" si="16"/>
        <v/>
      </c>
    </row>
    <row r="516" spans="1:90">
      <c r="A516" s="79" t="str">
        <f t="shared" si="17"/>
        <v/>
      </c>
      <c r="CL516" s="80" t="str">
        <f t="shared" si="16"/>
        <v/>
      </c>
    </row>
    <row r="517" spans="1:90">
      <c r="A517" s="79" t="str">
        <f t="shared" si="17"/>
        <v/>
      </c>
      <c r="CL517" s="80" t="str">
        <f t="shared" si="16"/>
        <v/>
      </c>
    </row>
    <row r="518" spans="1:90">
      <c r="A518" s="79" t="str">
        <f t="shared" si="17"/>
        <v/>
      </c>
      <c r="CL518" s="80" t="str">
        <f t="shared" si="16"/>
        <v/>
      </c>
    </row>
    <row r="519" spans="1:90">
      <c r="A519" s="79"/>
      <c r="CL519" s="80"/>
    </row>
    <row r="520" spans="1:90">
      <c r="A520" s="79"/>
      <c r="CL520" s="80"/>
    </row>
    <row r="521" spans="1:90">
      <c r="A521" s="79"/>
      <c r="CL521" s="80"/>
    </row>
    <row r="522" spans="1:90">
      <c r="A522" s="79"/>
      <c r="CL522" s="80"/>
    </row>
    <row r="523" spans="1:90">
      <c r="A523" s="79"/>
      <c r="CL523" s="80"/>
    </row>
    <row r="524" spans="1:90">
      <c r="A524" s="79"/>
      <c r="CL524" s="80"/>
    </row>
    <row r="525" spans="1:90">
      <c r="A525" s="79"/>
      <c r="CL525" s="80"/>
    </row>
    <row r="526" spans="1:90">
      <c r="A526" s="79"/>
      <c r="CL526" s="80"/>
    </row>
    <row r="527" spans="1:90">
      <c r="A527" s="79"/>
      <c r="CL527" s="80"/>
    </row>
    <row r="528" spans="1:90">
      <c r="A528" s="79"/>
      <c r="CL528" s="80"/>
    </row>
    <row r="529" spans="1:90">
      <c r="A529" s="79"/>
      <c r="CL529" s="80"/>
    </row>
    <row r="530" spans="1:90">
      <c r="A530" s="79"/>
      <c r="CL530" s="80"/>
    </row>
    <row r="531" spans="1:90">
      <c r="A531" s="79"/>
      <c r="CL531" s="80"/>
    </row>
    <row r="532" spans="1:90">
      <c r="A532" s="79"/>
      <c r="CL532" s="80"/>
    </row>
    <row r="533" spans="1:90">
      <c r="A533" s="79"/>
      <c r="CL533" s="80"/>
    </row>
    <row r="534" spans="1:90">
      <c r="A534" s="79"/>
      <c r="CL534" s="80"/>
    </row>
    <row r="535" spans="1:90">
      <c r="A535" s="79"/>
      <c r="CL535" s="80"/>
    </row>
    <row r="536" spans="1:90">
      <c r="A536" s="79"/>
      <c r="CL536" s="80"/>
    </row>
    <row r="537" spans="1:90">
      <c r="A537" s="79"/>
      <c r="CL537" s="80"/>
    </row>
    <row r="538" spans="1:90">
      <c r="A538" s="79"/>
      <c r="CL538" s="80"/>
    </row>
    <row r="539" spans="1:90">
      <c r="A539" s="79"/>
      <c r="CL539" s="80"/>
    </row>
    <row r="540" spans="1:90">
      <c r="A540" s="79"/>
      <c r="CL540" s="80"/>
    </row>
    <row r="541" spans="1:90">
      <c r="A541" s="79"/>
      <c r="CL541" s="80"/>
    </row>
    <row r="542" spans="1:90">
      <c r="A542" s="79"/>
      <c r="CL542" s="80"/>
    </row>
    <row r="543" spans="1:90">
      <c r="A543" s="79"/>
      <c r="CL543" s="80"/>
    </row>
    <row r="544" spans="1:90">
      <c r="A544" s="79"/>
      <c r="CL544" s="80"/>
    </row>
    <row r="545" spans="1:90">
      <c r="A545" s="79"/>
      <c r="CL545" s="80"/>
    </row>
    <row r="546" spans="1:90">
      <c r="A546" s="79"/>
      <c r="CL546" s="80"/>
    </row>
    <row r="547" spans="1:90">
      <c r="A547" s="79"/>
      <c r="CL547" s="80"/>
    </row>
    <row r="548" spans="1:90">
      <c r="A548" s="79"/>
      <c r="CL548" s="80"/>
    </row>
  </sheetData>
  <sheetProtection formatCells="0" formatColumns="0" formatRows="0" insertColumns="0" insertRows="0" deleteColumns="0" deleteRows="0" sort="0" autoFilter="0"/>
  <autoFilter ref="A3:CM481"/>
  <mergeCells count="10">
    <mergeCell ref="BN1:CM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G4:G648 K4:L648 N4:R648 X4:Z648 AJ4:AK648 AP4:AP648 BM4:BM648</xm:sqref>
        </x14:dataValidation>
        <x14:dataValidation type="list" allowBlank="1" showInputMessage="1" showErrorMessage="1">
          <x14:formula1>
            <xm:f>validation_menus!$A$2:$A$3</xm:f>
          </x14:formula1>
          <xm:sqref>BS4:CI648</xm:sqref>
        </x14:dataValidation>
        <x14:dataValidation type="list" allowBlank="1" showInputMessage="1" showErrorMessage="1">
          <x14:formula1>
            <xm:f>validation_menus!$A$2:$A$3</xm:f>
          </x14:formula1>
          <xm:sqref>S4:V648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95"/>
  <sheetViews>
    <sheetView workbookViewId="0">
      <selection activeCell="C20" sqref="C20"/>
    </sheetView>
  </sheetViews>
  <sheetFormatPr baseColWidth="10" defaultColWidth="11" defaultRowHeight="15" x14ac:dyDescent="0"/>
  <cols>
    <col min="2" max="2" width="15" bestFit="1" customWidth="1"/>
    <col min="3" max="3" width="13.33203125" customWidth="1"/>
  </cols>
  <sheetData>
    <row r="1" spans="1:6">
      <c r="A1" t="s">
        <v>394</v>
      </c>
      <c r="B1" t="s">
        <v>392</v>
      </c>
      <c r="C1" t="s">
        <v>393</v>
      </c>
      <c r="D1" t="s">
        <v>391</v>
      </c>
      <c r="E1" t="s">
        <v>942</v>
      </c>
    </row>
    <row r="2" spans="1:6">
      <c r="A2" t="b">
        <v>1</v>
      </c>
      <c r="B2">
        <v>2</v>
      </c>
      <c r="C2" t="s">
        <v>1</v>
      </c>
      <c r="D2" t="s">
        <v>395</v>
      </c>
      <c r="E2" s="78" t="s">
        <v>2</v>
      </c>
    </row>
    <row r="3" spans="1:6">
      <c r="A3" t="b">
        <v>0</v>
      </c>
      <c r="B3">
        <v>4</v>
      </c>
      <c r="C3" t="s">
        <v>101</v>
      </c>
      <c r="D3" t="s">
        <v>396</v>
      </c>
      <c r="E3" s="78" t="s">
        <v>4</v>
      </c>
    </row>
    <row r="4" spans="1:6">
      <c r="B4">
        <v>6</v>
      </c>
      <c r="D4" t="s">
        <v>397</v>
      </c>
      <c r="E4" s="78" t="s">
        <v>84</v>
      </c>
    </row>
    <row r="5" spans="1:6">
      <c r="B5">
        <v>8</v>
      </c>
      <c r="D5" t="s">
        <v>398</v>
      </c>
      <c r="E5" s="78" t="s">
        <v>102</v>
      </c>
    </row>
    <row r="6" spans="1:6">
      <c r="B6">
        <v>12</v>
      </c>
      <c r="D6" t="s">
        <v>399</v>
      </c>
      <c r="E6" s="78" t="s">
        <v>130</v>
      </c>
    </row>
    <row r="7" spans="1:6">
      <c r="B7">
        <v>18</v>
      </c>
      <c r="D7" t="s">
        <v>400</v>
      </c>
      <c r="E7" s="78" t="s">
        <v>144</v>
      </c>
      <c r="F7" s="78"/>
    </row>
    <row r="8" spans="1:6">
      <c r="B8">
        <v>24</v>
      </c>
      <c r="D8" t="s">
        <v>401</v>
      </c>
      <c r="E8" s="78" t="s">
        <v>74</v>
      </c>
    </row>
    <row r="9" spans="1:6">
      <c r="B9">
        <v>36</v>
      </c>
      <c r="D9" t="s">
        <v>402</v>
      </c>
      <c r="E9" s="78"/>
    </row>
    <row r="10" spans="1:6">
      <c r="B10">
        <v>48</v>
      </c>
      <c r="D10" t="s">
        <v>403</v>
      </c>
      <c r="E10" s="78"/>
    </row>
    <row r="11" spans="1:6" ht="17">
      <c r="A11" s="1"/>
      <c r="D11" t="s">
        <v>404</v>
      </c>
      <c r="E11" s="78"/>
    </row>
    <row r="12" spans="1:6" ht="17">
      <c r="A12" s="1"/>
      <c r="D12" t="s">
        <v>405</v>
      </c>
      <c r="E12" s="78"/>
    </row>
    <row r="13" spans="1:6">
      <c r="D13" t="s">
        <v>406</v>
      </c>
      <c r="E13" s="78"/>
    </row>
    <row r="14" spans="1:6">
      <c r="D14" t="s">
        <v>407</v>
      </c>
      <c r="E14" s="78"/>
    </row>
    <row r="15" spans="1:6">
      <c r="D15" t="s">
        <v>408</v>
      </c>
      <c r="E15" s="78"/>
    </row>
    <row r="16" spans="1:6" ht="17">
      <c r="A16" s="2"/>
      <c r="D16" t="s">
        <v>409</v>
      </c>
      <c r="E16" s="78"/>
    </row>
    <row r="17" spans="4:5">
      <c r="D17" t="s">
        <v>410</v>
      </c>
      <c r="E17" s="78"/>
    </row>
    <row r="18" spans="4:5">
      <c r="D18" t="s">
        <v>411</v>
      </c>
      <c r="E18" s="78"/>
    </row>
    <row r="19" spans="4:5">
      <c r="D19" t="s">
        <v>412</v>
      </c>
      <c r="E19" s="78"/>
    </row>
    <row r="20" spans="4:5">
      <c r="D20" t="s">
        <v>413</v>
      </c>
      <c r="E20" s="78"/>
    </row>
    <row r="21" spans="4:5">
      <c r="D21" t="s">
        <v>414</v>
      </c>
      <c r="E21" s="78"/>
    </row>
    <row r="22" spans="4:5">
      <c r="D22" t="s">
        <v>415</v>
      </c>
      <c r="E22" s="78"/>
    </row>
    <row r="23" spans="4:5">
      <c r="D23" t="s">
        <v>416</v>
      </c>
      <c r="E23" s="78"/>
    </row>
    <row r="24" spans="4:5">
      <c r="D24" t="s">
        <v>417</v>
      </c>
      <c r="E24" s="78"/>
    </row>
    <row r="25" spans="4:5">
      <c r="D25" t="s">
        <v>418</v>
      </c>
      <c r="E25" s="78"/>
    </row>
    <row r="26" spans="4:5">
      <c r="D26" t="s">
        <v>419</v>
      </c>
      <c r="E26" s="78"/>
    </row>
    <row r="27" spans="4:5">
      <c r="D27" t="s">
        <v>420</v>
      </c>
      <c r="E27" s="78"/>
    </row>
    <row r="28" spans="4:5">
      <c r="D28" t="s">
        <v>421</v>
      </c>
      <c r="E28" s="78"/>
    </row>
    <row r="29" spans="4:5">
      <c r="D29" t="s">
        <v>422</v>
      </c>
    </row>
    <row r="30" spans="4:5">
      <c r="D30" t="s">
        <v>423</v>
      </c>
    </row>
    <row r="31" spans="4:5">
      <c r="D31" t="s">
        <v>424</v>
      </c>
    </row>
    <row r="32" spans="4:5">
      <c r="D32" t="s">
        <v>425</v>
      </c>
    </row>
    <row r="33" spans="4:4">
      <c r="D33" t="s">
        <v>426</v>
      </c>
    </row>
    <row r="34" spans="4:4">
      <c r="D34" t="s">
        <v>427</v>
      </c>
    </row>
    <row r="35" spans="4:4">
      <c r="D35" t="s">
        <v>428</v>
      </c>
    </row>
    <row r="36" spans="4:4">
      <c r="D36" t="s">
        <v>429</v>
      </c>
    </row>
    <row r="37" spans="4:4">
      <c r="D37" t="s">
        <v>430</v>
      </c>
    </row>
    <row r="38" spans="4:4">
      <c r="D38" t="s">
        <v>431</v>
      </c>
    </row>
    <row r="39" spans="4:4">
      <c r="D39" t="s">
        <v>432</v>
      </c>
    </row>
    <row r="40" spans="4:4">
      <c r="D40" t="s">
        <v>433</v>
      </c>
    </row>
    <row r="41" spans="4:4">
      <c r="D41" t="s">
        <v>434</v>
      </c>
    </row>
    <row r="42" spans="4:4">
      <c r="D42" t="s">
        <v>435</v>
      </c>
    </row>
    <row r="43" spans="4:4">
      <c r="D43" t="s">
        <v>436</v>
      </c>
    </row>
    <row r="44" spans="4:4">
      <c r="D44" t="s">
        <v>437</v>
      </c>
    </row>
    <row r="45" spans="4:4">
      <c r="D45" t="s">
        <v>438</v>
      </c>
    </row>
    <row r="46" spans="4:4">
      <c r="D46" t="s">
        <v>439</v>
      </c>
    </row>
    <row r="47" spans="4:4">
      <c r="D47" t="s">
        <v>440</v>
      </c>
    </row>
    <row r="48" spans="4:4">
      <c r="D48" t="s">
        <v>441</v>
      </c>
    </row>
    <row r="49" spans="4:4">
      <c r="D49" t="s">
        <v>442</v>
      </c>
    </row>
    <row r="50" spans="4:4">
      <c r="D50" t="s">
        <v>443</v>
      </c>
    </row>
    <row r="51" spans="4:4">
      <c r="D51" t="s">
        <v>444</v>
      </c>
    </row>
    <row r="52" spans="4:4">
      <c r="D52" t="s">
        <v>445</v>
      </c>
    </row>
    <row r="53" spans="4:4">
      <c r="D53" t="s">
        <v>446</v>
      </c>
    </row>
    <row r="54" spans="4:4">
      <c r="D54" t="s">
        <v>447</v>
      </c>
    </row>
    <row r="55" spans="4:4">
      <c r="D55" t="s">
        <v>448</v>
      </c>
    </row>
    <row r="56" spans="4:4">
      <c r="D56" t="s">
        <v>449</v>
      </c>
    </row>
    <row r="57" spans="4:4">
      <c r="D57" t="s">
        <v>450</v>
      </c>
    </row>
    <row r="58" spans="4:4">
      <c r="D58" t="s">
        <v>451</v>
      </c>
    </row>
    <row r="59" spans="4:4">
      <c r="D59" t="s">
        <v>452</v>
      </c>
    </row>
    <row r="60" spans="4:4">
      <c r="D60" t="s">
        <v>453</v>
      </c>
    </row>
    <row r="61" spans="4:4">
      <c r="D61" t="s">
        <v>454</v>
      </c>
    </row>
    <row r="62" spans="4:4">
      <c r="D62" t="s">
        <v>455</v>
      </c>
    </row>
    <row r="63" spans="4:4">
      <c r="D63" t="s">
        <v>456</v>
      </c>
    </row>
    <row r="64" spans="4:4">
      <c r="D64" t="s">
        <v>457</v>
      </c>
    </row>
    <row r="65" spans="4:4">
      <c r="D65" t="s">
        <v>458</v>
      </c>
    </row>
    <row r="66" spans="4:4">
      <c r="D66" t="s">
        <v>459</v>
      </c>
    </row>
    <row r="67" spans="4:4">
      <c r="D67" t="s">
        <v>460</v>
      </c>
    </row>
    <row r="68" spans="4:4">
      <c r="D68" t="s">
        <v>461</v>
      </c>
    </row>
    <row r="69" spans="4:4">
      <c r="D69" t="s">
        <v>462</v>
      </c>
    </row>
    <row r="70" spans="4:4">
      <c r="D70" t="s">
        <v>463</v>
      </c>
    </row>
    <row r="71" spans="4:4">
      <c r="D71" t="s">
        <v>464</v>
      </c>
    </row>
    <row r="72" spans="4:4">
      <c r="D72" t="s">
        <v>465</v>
      </c>
    </row>
    <row r="73" spans="4:4">
      <c r="D73" t="s">
        <v>466</v>
      </c>
    </row>
    <row r="74" spans="4:4">
      <c r="D74" t="s">
        <v>467</v>
      </c>
    </row>
    <row r="75" spans="4:4">
      <c r="D75" t="s">
        <v>468</v>
      </c>
    </row>
    <row r="76" spans="4:4">
      <c r="D76" t="s">
        <v>469</v>
      </c>
    </row>
    <row r="77" spans="4:4">
      <c r="D77" t="s">
        <v>470</v>
      </c>
    </row>
    <row r="78" spans="4:4">
      <c r="D78" t="s">
        <v>471</v>
      </c>
    </row>
    <row r="79" spans="4:4">
      <c r="D79" t="s">
        <v>472</v>
      </c>
    </row>
    <row r="80" spans="4:4">
      <c r="D80" t="s">
        <v>473</v>
      </c>
    </row>
    <row r="81" spans="4:4">
      <c r="D81" t="s">
        <v>474</v>
      </c>
    </row>
    <row r="82" spans="4:4">
      <c r="D82" t="s">
        <v>475</v>
      </c>
    </row>
    <row r="83" spans="4:4">
      <c r="D83" t="s">
        <v>476</v>
      </c>
    </row>
    <row r="84" spans="4:4">
      <c r="D84" t="s">
        <v>477</v>
      </c>
    </row>
    <row r="85" spans="4:4">
      <c r="D85" t="s">
        <v>478</v>
      </c>
    </row>
    <row r="86" spans="4:4">
      <c r="D86" t="s">
        <v>479</v>
      </c>
    </row>
    <row r="87" spans="4:4">
      <c r="D87" t="s">
        <v>480</v>
      </c>
    </row>
    <row r="88" spans="4:4">
      <c r="D88" t="s">
        <v>481</v>
      </c>
    </row>
    <row r="89" spans="4:4">
      <c r="D89" t="s">
        <v>482</v>
      </c>
    </row>
    <row r="90" spans="4:4">
      <c r="D90" t="s">
        <v>483</v>
      </c>
    </row>
    <row r="91" spans="4:4">
      <c r="D91" t="s">
        <v>484</v>
      </c>
    </row>
    <row r="92" spans="4:4">
      <c r="D92" t="s">
        <v>485</v>
      </c>
    </row>
    <row r="93" spans="4:4">
      <c r="D93" t="s">
        <v>486</v>
      </c>
    </row>
    <row r="94" spans="4:4">
      <c r="D94" t="s">
        <v>487</v>
      </c>
    </row>
    <row r="95" spans="4:4">
      <c r="D95" t="s">
        <v>488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2017-03-13T16:33:35Z</dcterms:modified>
</cp:coreProperties>
</file>
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3040" windowHeight="398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Styles!$A$3:$CT$35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3" i="1" l="1"/>
  <c r="CS193" i="1"/>
  <c r="E193" i="1"/>
  <c r="A194" i="1"/>
  <c r="CS194" i="1"/>
  <c r="A49" i="1"/>
  <c r="CS49" i="1"/>
  <c r="E174" i="1"/>
  <c r="E185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5" i="1"/>
  <c r="CS185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8" i="1"/>
  <c r="CS188" i="1"/>
  <c r="A187" i="1"/>
  <c r="CS187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2" i="1"/>
  <c r="E191" i="1"/>
  <c r="E190" i="1"/>
  <c r="E189" i="1"/>
  <c r="E186" i="1"/>
  <c r="E184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4" i="1"/>
  <c r="A186" i="1"/>
  <c r="A189" i="1"/>
  <c r="A190" i="1"/>
  <c r="A191" i="1"/>
  <c r="A192" i="1"/>
  <c r="CS36" i="1"/>
  <c r="CS192" i="1"/>
  <c r="CS191" i="1"/>
  <c r="CS190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4" i="1"/>
  <c r="CS186" i="1"/>
  <c r="CS189" i="1"/>
  <c r="A195" i="1"/>
  <c r="A196" i="1"/>
  <c r="A197" i="1"/>
  <c r="A198" i="1"/>
  <c r="A199" i="1"/>
  <c r="A200" i="1"/>
  <c r="A201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5" i="1"/>
  <c r="CS196" i="1"/>
  <c r="CS197" i="1"/>
  <c r="CS198" i="1"/>
  <c r="CS199" i="1"/>
  <c r="CS200" i="1"/>
  <c r="CS201" i="1"/>
</calcChain>
</file>

<file path=xl/sharedStrings.xml><?xml version="1.0" encoding="utf-8"?>
<sst xmlns="http://schemas.openxmlformats.org/spreadsheetml/2006/main" count="2321" uniqueCount="755">
  <si>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</si>
  <si>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</si>
  <si>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</si>
  <si>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</si>
  <si>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</si>
  <si>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</si>
  <si>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</si>
  <si>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</si>
  <si>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</si>
  <si>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</si>
  <si>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</si>
  <si>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</si>
  <si>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</si>
  <si>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</si>
  <si>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</si>
  <si>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</si>
  <si>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</si>
  <si>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</si>
  <si>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</si>
  <si>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</si>
  <si>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</si>
  <si>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</si>
  <si>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</si>
  <si>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</si>
  <si>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</si>
  <si>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</si>
  <si>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</si>
  <si>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</si>
  <si>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</si>
  <si>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</si>
  <si>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</si>
  <si>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</si>
  <si>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</si>
  <si>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</si>
  <si>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</si>
  <si>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</si>
  <si>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</si>
  <si>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</si>
  <si>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</si>
  <si>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</si>
  <si>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</si>
  <si>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</si>
  <si>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</si>
  <si>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</si>
  <si>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</si>
  <si>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</si>
  <si>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</si>
  <si>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</si>
  <si>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</si>
  <si>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</si>
  <si>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</si>
  <si>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</si>
  <si>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</si>
  <si>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</si>
  <si>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</si>
  <si>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</si>
  <si>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</si>
  <si>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</si>
  <si>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</si>
  <si>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</si>
  <si>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</si>
  <si>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</si>
  <si>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</si>
  <si>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</si>
  <si>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</si>
  <si>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</si>
  <si>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</si>
  <si>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</si>
  <si>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</si>
  <si>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</si>
  <si>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</si>
  <si>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</si>
  <si>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</si>
  <si>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</si>
  <si>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</si>
  <si>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</si>
  <si>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</si>
  <si>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</si>
  <si>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</si>
  <si>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</si>
  <si>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</si>
  <si>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</si>
  <si>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</si>
  <si>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</si>
  <si>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</si>
  <si>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</si>
  <si>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</si>
  <si>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</si>
  <si>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</si>
  <si>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</si>
  <si>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</si>
  <si>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</si>
  <si>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</si>
  <si>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</si>
  <si>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</si>
  <si>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</si>
  <si>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</si>
  <si>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</si>
  <si>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</si>
  <si>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</si>
  <si>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</si>
  <si>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</si>
  <si>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</si>
  <si>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</si>
  <si>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</si>
  <si>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</si>
  <si>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</si>
  <si>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</si>
  <si>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</si>
  <si>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</si>
  <si>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</si>
  <si>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</si>
  <si>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</si>
  <si>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</si>
  <si>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</si>
  <si>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</si>
  <si>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</si>
  <si>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</si>
  <si>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</si>
  <si>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</si>
  <si>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</si>
  <si>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</si>
  <si>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</si>
  <si>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</si>
  <si>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</si>
  <si>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</si>
  <si>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</si>
  <si>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</si>
  <si>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</si>
  <si>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</si>
  <si>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</si>
  <si>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</si>
  <si>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</si>
  <si>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</si>
  <si>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</si>
  <si>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</si>
  <si>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</si>
  <si>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</si>
  <si>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</si>
  <si>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</si>
  <si>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</si>
  <si>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</si>
  <si>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</si>
  <si>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</si>
  <si>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</si>
  <si>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</si>
  <si>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</si>
  <si>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</si>
  <si>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</si>
  <si>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</si>
  <si>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</si>
  <si>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</si>
  <si>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</si>
  <si>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</si>
  <si>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</si>
  <si>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</si>
  <si>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</si>
  <si>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</si>
  <si>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</si>
  <si>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</si>
  <si>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</si>
  <si>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</si>
  <si>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</si>
  <si>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</si>
  <si>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</si>
  <si>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</si>
  <si>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</si>
  <si>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</si>
  <si>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</si>
  <si>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</si>
  <si>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</si>
  <si>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</si>
  <si>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</si>
  <si>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</si>
  <si>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</si>
  <si>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</si>
  <si>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</si>
  <si>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</si>
  <si>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</si>
  <si>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</si>
  <si>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</si>
  <si>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</si>
  <si>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</si>
  <si>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</si>
  <si>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</si>
  <si>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</si>
  <si>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</si>
  <si>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</si>
  <si>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</si>
  <si>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</si>
  <si>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</si>
  <si>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</si>
  <si>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</si>
  <si>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</si>
  <si>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</si>
  <si>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</si>
  <si>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</si>
  <si>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</si>
  <si>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</si>
  <si>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</si>
  <si>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</si>
  <si>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</si>
  <si>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</si>
  <si>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</si>
  <si>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</si>
  <si>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</si>
  <si>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</si>
  <si>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</si>
  <si>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</si>
  <si>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</si>
  <si>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</si>
  <si>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</si>
  <si>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</si>
  <si>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</si>
  <si>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</si>
  <si>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</si>
  <si>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</si>
  <si>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</si>
  <si>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</si>
  <si>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</si>
  <si>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</si>
  <si>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</si>
  <si>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</si>
  <si>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</si>
  <si>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</si>
  <si>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</si>
  <si>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</si>
  <si>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</si>
  <si>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</si>
  <si>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</si>
  <si>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</si>
  <si>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</si>
  <si>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</si>
  <si>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</si>
  <si>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</si>
  <si>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</si>
  <si>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</si>
  <si>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</si>
  <si>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</si>
  <si>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</si>
  <si>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</si>
  <si>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</si>
  <si>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</si>
  <si>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</si>
  <si>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</si>
  <si>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</si>
  <si>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</si>
  <si>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</si>
  <si>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</si>
  <si>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</si>
  <si>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</si>
  <si>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</si>
  <si>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</si>
  <si>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</si>
  <si>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</si>
  <si>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</si>
  <si>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</si>
  <si>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</si>
  <si>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</si>
  <si>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</si>
  <si>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</si>
  <si>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</si>
  <si>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</si>
  <si>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</si>
  <si>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</si>
  <si>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</si>
  <si>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</si>
  <si>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</si>
  <si>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</si>
  <si>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</si>
  <si>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</si>
  <si>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</si>
  <si>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</si>
  <si>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</si>
  <si>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</si>
  <si>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</si>
  <si>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</si>
  <si>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</si>
  <si>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</si>
  <si>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</si>
  <si>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</si>
  <si>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</si>
  <si>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</si>
  <si>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</si>
  <si>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</si>
  <si>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</si>
  <si>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</si>
  <si>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</si>
  <si>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</si>
  <si>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</si>
  <si>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</si>
  <si>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</si>
  <si>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</si>
  <si>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</si>
  <si>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</si>
  <si>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</si>
  <si>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</si>
  <si>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</si>
  <si>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</si>
  <si>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</si>
  <si>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</si>
  <si>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</si>
  <si>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</si>
  <si>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</si>
  <si>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</si>
  <si>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</si>
  <si>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</si>
  <si>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</si>
  <si>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</si>
  <si>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</si>
  <si>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</si>
  <si>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</si>
  <si>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</si>
  <si>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</si>
  <si>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</si>
  <si>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</si>
  <si>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</si>
  <si>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</si>
  <si>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</si>
  <si>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</si>
  <si>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</si>
  <si>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</si>
  <si>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</si>
  <si>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</si>
  <si>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</si>
  <si>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</si>
  <si>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</si>
  <si>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</si>
  <si>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</si>
  <si>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</si>
  <si>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</si>
  <si>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</si>
  <si>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</si>
  <si>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</si>
  <si>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</si>
  <si>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</si>
  <si>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</si>
  <si>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</si>
  <si>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</si>
  <si>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</si>
  <si>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</si>
  <si>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</si>
  <si>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</si>
  <si>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</si>
  <si>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</si>
  <si>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</si>
  <si>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</si>
  <si>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</si>
  <si>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</si>
  <si>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</si>
  <si>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</si>
  <si>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</si>
  <si>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</si>
  <si>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</si>
  <si>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</si>
  <si>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</si>
  <si>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</si>
  <si>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</si>
  <si>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</si>
  <si>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</si>
  <si>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</si>
  <si>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</si>
  <si>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</si>
  <si>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</si>
  <si>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</si>
  <si>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</si>
  <si>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</si>
  <si>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</si>
  <si>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</si>
  <si>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</si>
  <si>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</si>
  <si>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</si>
  <si>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</si>
  <si>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</si>
  <si>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</si>
  <si>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</si>
  <si>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</si>
  <si>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</si>
  <si>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</si>
  <si>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</si>
  <si>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</si>
  <si>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</si>
  <si>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</si>
  <si>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</si>
  <si>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</si>
  <si>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</si>
  <si>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</si>
  <si>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</si>
  <si>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</si>
  <si>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</si>
  <si>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</si>
  <si>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</si>
  <si>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</si>
  <si>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</si>
  <si>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</si>
  <si>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</si>
  <si>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</si>
  <si>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</si>
  <si>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</si>
  <si>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</si>
  <si>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</si>
  <si>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</si>
  <si>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</si>
  <si>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</si>
  <si>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</si>
  <si>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</si>
  <si>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</si>
  <si>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</si>
  <si>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</si>
  <si>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</si>
  <si>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</si>
  <si>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</si>
  <si>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</si>
  <si>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</si>
  <si>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</si>
  <si>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</si>
  <si>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</si>
  <si>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</si>
  <si>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</si>
  <si>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</si>
  <si>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</si>
  <si>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</si>
  <si>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</si>
  <si>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</si>
  <si>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</si>
  <si>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</si>
  <si>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</si>
  <si>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</si>
  <si>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</si>
  <si>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</si>
  <si>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</si>
  <si>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</si>
  <si>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</si>
  <si>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</si>
  <si>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</si>
  <si>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</si>
  <si>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</si>
  <si>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</si>
  <si>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</si>
  <si>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</si>
  <si>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</si>
  <si>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</si>
  <si>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</si>
  <si>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</si>
  <si>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</si>
  <si>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</si>
  <si>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</si>
  <si>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</si>
  <si>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</si>
  <si>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</si>
  <si>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</si>
  <si>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</si>
  <si>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</si>
  <si>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</si>
  <si>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</si>
  <si>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</si>
  <si>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</si>
  <si>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</si>
  <si>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</si>
  <si>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</si>
  <si>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</si>
  <si>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</si>
  <si>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</si>
  <si>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</si>
  <si>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</si>
  <si>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</si>
  <si>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</si>
  <si>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</si>
  <si>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</si>
  <si>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</si>
  <si>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</si>
  <si>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</si>
  <si>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</si>
  <si>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</si>
  <si>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</si>
  <si>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</si>
  <si>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</si>
  <si>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</si>
  <si>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</si>
  <si>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</si>
  <si>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</si>
  <si>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</si>
  <si>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</si>
  <si>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</si>
  <si>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</si>
  <si>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</si>
  <si>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</si>
  <si>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</si>
  <si>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</si>
  <si>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</si>
  <si>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</si>
  <si>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</si>
  <si>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</si>
  <si>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</si>
  <si>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</si>
  <si>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</si>
  <si>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</si>
  <si>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</si>
  <si>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</si>
  <si>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</si>
  <si>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</si>
  <si>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</si>
  <si>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</si>
  <si>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</si>
  <si>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</si>
  <si>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</si>
  <si>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</si>
  <si>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</si>
  <si>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</si>
  <si>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</si>
  <si>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</si>
  <si>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</si>
  <si>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</si>
  <si>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</si>
  <si>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</si>
  <si>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</si>
  <si>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</si>
  <si>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</si>
  <si>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</si>
  <si>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</si>
  <si>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</si>
  <si>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</si>
  <si>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</si>
  <si>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</si>
  <si>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</si>
  <si>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</si>
  <si>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</si>
  <si>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</si>
  <si>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</si>
  <si>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</si>
  <si>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</si>
  <si>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</si>
  <si>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</si>
  <si>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</si>
  <si>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</si>
  <si>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</si>
  <si>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</si>
  <si>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</si>
  <si>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</si>
  <si>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</si>
  <si>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</si>
  <si>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</si>
  <si>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</si>
  <si>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</si>
  <si>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</si>
  <si>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</si>
  <si>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</si>
  <si>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</si>
  <si>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</si>
  <si>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</si>
  <si>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</si>
  <si>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</si>
  <si>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</si>
  <si>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</si>
  <si>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</si>
  <si>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</si>
  <si>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</si>
  <si>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</si>
  <si>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</si>
  <si>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</si>
  <si>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</si>
  <si>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</si>
  <si>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</si>
  <si>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</si>
  <si>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</si>
  <si>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</si>
  <si>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</si>
  <si>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</si>
  <si>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</si>
  <si>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</si>
  <si>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</si>
  <si>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</si>
  <si>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</si>
  <si>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</si>
  <si>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</si>
  <si>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</si>
  <si>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</si>
  <si>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</si>
  <si>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</si>
  <si>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</si>
  <si>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</si>
  <si>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</si>
  <si>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</si>
  <si>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</si>
  <si>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</si>
  <si>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</si>
  <si>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</si>
  <si>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</si>
  <si>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</si>
  <si>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</si>
  <si>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</si>
  <si>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</si>
  <si>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</si>
  <si>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</si>
  <si>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</si>
  <si>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</si>
  <si>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</si>
  <si>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</si>
  <si>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</si>
  <si>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</si>
  <si>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</si>
  <si>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</si>
  <si>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</si>
  <si>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</si>
  <si>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</si>
  <si>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</si>
  <si>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</si>
  <si>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</si>
  <si>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</si>
  <si>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</si>
  <si>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</si>
  <si>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</si>
  <si>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</si>
  <si>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</si>
  <si>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</si>
  <si>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</si>
  <si>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</si>
  <si>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</si>
  <si>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</si>
  <si>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</si>
  <si>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</si>
  <si>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</si>
  <si>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</si>
  <si>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</si>
  <si>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</si>
  <si>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</si>
  <si>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</si>
  <si>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</si>
  <si>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</si>
  <si>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</si>
  <si>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</si>
  <si>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</si>
  <si>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</si>
  <si>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</si>
  <si>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</si>
  <si>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</si>
  <si>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</si>
  <si>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</si>
  <si>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</si>
  <si>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</si>
  <si>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</si>
  <si>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</si>
  <si>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</si>
  <si>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</si>
  <si>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</si>
  <si>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</si>
  <si>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</si>
  <si>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</si>
  <si>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</si>
  <si>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</si>
  <si>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</si>
  <si>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</si>
  <si>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</si>
  <si>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</si>
  <si>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</si>
  <si>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</si>
  <si>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</si>
  <si>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</si>
  <si>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</si>
  <si>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</si>
  <si>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</si>
  <si>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</si>
  <si>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</si>
  <si>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</si>
  <si>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</si>
  <si>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</si>
  <si>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</si>
  <si>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</si>
  <si>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</si>
  <si>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</si>
  <si>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</si>
  <si>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</si>
  <si>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</si>
  <si>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</si>
  <si>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</si>
  <si>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</si>
  <si>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</si>
  <si>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</si>
  <si>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</si>
  <si>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</si>
  <si>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</si>
  <si>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</si>
  <si>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</si>
  <si>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</si>
  <si>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</si>
  <si>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</si>
  <si>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</si>
  <si>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</si>
  <si>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</si>
  <si>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</si>
  <si>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</si>
  <si>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</si>
  <si>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</si>
  <si>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</si>
  <si>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</si>
  <si>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</si>
  <si>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</si>
  <si>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</si>
  <si>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</si>
  <si>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</si>
  <si>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</si>
  <si>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</si>
  <si>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</si>
  <si>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</si>
  <si>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</si>
  <si>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</si>
  <si>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</si>
  <si>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</si>
  <si>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</si>
  <si>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</si>
  <si>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</si>
  <si>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</si>
  <si>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</si>
  <si>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</si>
  <si>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</si>
  <si>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</si>
  <si>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</si>
  <si>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</si>
  <si>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</si>
  <si>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</si>
  <si>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</si>
  <si>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</si>
  <si>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</si>
  <si>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</si>
  <si>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</si>
  <si>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</si>
  <si>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</si>
  <si>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</si>
  <si>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</si>
  <si>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</si>
  <si>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</si>
  <si>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</si>
  <si>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</si>
  <si>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</si>
  <si>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</si>
  <si>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</si>
  <si>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</si>
  <si>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</si>
  <si>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</si>
  <si>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</si>
  <si>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</si>
  <si>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</si>
  <si>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</si>
  <si>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</si>
  <si>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</si>
  <si>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</si>
  <si>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</si>
  <si>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</si>
  <si>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</si>
  <si>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</si>
  <si>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</si>
  <si>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</si>
  <si>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166,166,166</t>
  </si>
  <si>
    <t>isbn</t>
  </si>
  <si>
    <t>cs-isbn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</si>
</sst>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6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7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8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49" fontId="20" fillId="0" borderId="0" xfId="0" applyNumberFormat="1" applyFont="1" applyFill="1" applyProtection="1">
      <protection locked="0"/>
    </xf>
    <xf numFmtId="49" fontId="15" fillId="0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6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X192" totalsRowShown="0" headerRowDxfId="175" dataDxfId="173" headerRowBorderDxfId="174" tableBorderDxfId="172">
  <autoFilter ref="A3:CX192"/>
  <sortState ref="A4:CR481">
    <sortCondition ref="F3:F481"/>
  </sortState>
  <tableColumns count="102">
    <tableColumn id="1" name="Full_Style_Name" dataDxfId="171">
      <calculatedColumnFormula>IF($D4="","",TRIM($C4)&amp;" "&amp;CHAR(40)&amp;TRIM($D4)&amp;CHAR(41))</calculatedColumnFormula>
    </tableColumn>
    <tableColumn id="2" name="Usage_Notes" dataDxfId="170"/>
    <tableColumn id="3" name="Style_Name" dataDxfId="169"/>
    <tableColumn id="4" name="Style_Code" dataDxfId="168"/>
    <tableColumn id="5" name="NextParagraphStyle" dataDxfId="167"/>
    <tableColumn id="6" name="Priority" dataDxfId="166"/>
    <tableColumn id="7" name="QuickStyle" dataDxfId="165"/>
    <tableColumn id="8" name="Type" dataDxfId="164"/>
    <tableColumn id="9" name="Font.name" dataDxfId="163"/>
    <tableColumn id="10" name="Font.Size" dataDxfId="162"/>
    <tableColumn id="11" name="Font.Italic" dataDxfId="161"/>
    <tableColumn id="12" name="Font.Bold" dataDxfId="160"/>
    <tableColumn id="13" name="Font.TextColor" dataDxfId="159"/>
    <tableColumn id="14" name="Font.Underline" dataDxfId="158"/>
    <tableColumn id="15" name="Font.SmallCaps" dataDxfId="157"/>
    <tableColumn id="16" name="Font.Superscript" dataDxfId="156"/>
    <tableColumn id="17" name="Font.Subscript" dataDxfId="155"/>
    <tableColumn id="18" name="Font.StrikeThrough" dataDxfId="154"/>
    <tableColumn id="19" name="shortcut_keys_enabled_tf" dataDxfId="153"/>
    <tableColumn id="20" name="shortcut_keys__shift_tf" dataDxfId="152"/>
    <tableColumn id="21" name="shortcut_keys__control_tf" dataDxfId="151"/>
    <tableColumn id="22" name="shortcut_keys__alt_tf" dataDxfId="150"/>
    <tableColumn id="23" name="shortcut_keys__letter" dataDxfId="149"/>
    <tableColumn id="24" name="NoSpaceBetweenParagraphsOfSameStyle" dataDxfId="148"/>
    <tableColumn id="25" name="Bullet" dataDxfId="147"/>
    <tableColumn id="26" name="Checklist" dataDxfId="146"/>
    <tableColumn id="27" name="ParagraphFormat.LeftIndent" dataDxfId="145"/>
    <tableColumn id="28" name="ParagraphFormat.RightIndent" dataDxfId="144"/>
    <tableColumn id="29" name="ParagraphFormat.SpaceBefore" dataDxfId="143"/>
    <tableColumn id="30" name="ParagraphFormat.SpaceAfter" dataDxfId="142"/>
    <tableColumn id="31" name="ParagraphFormat.LineSpacingRule" dataDxfId="141"/>
    <tableColumn id="32" name="ParagraphFormat.LineSpacing" dataDxfId="140"/>
    <tableColumn id="33" name="ParagraphFormat.Alignment" dataDxfId="139"/>
    <tableColumn id="34" name="ParagraphFormat.FirstLineIndent" dataDxfId="138"/>
    <tableColumn id="35" name="ParagraphFormat.OutlineLevel" dataDxfId="137"/>
    <tableColumn id="36" name="ParagraphFormat.PageBreakBefore" dataDxfId="136"/>
    <tableColumn id="37" name="ParagraphFormat.WidowControl" dataDxfId="135"/>
    <tableColumn id="38" name="Borders(-1)" dataDxfId="134"/>
    <tableColumn id="39" name="Borders(-1).Color" dataDxfId="133"/>
    <tableColumn id="40" name="Borders(-1).LineStyle" dataDxfId="132"/>
    <tableColumn id="41" name="Borders(-1).LineWidth" dataDxfId="131"/>
    <tableColumn id="42" name="Borders(-2)" dataDxfId="130"/>
    <tableColumn id="43" name="Borders(-2).Color" dataDxfId="129"/>
    <tableColumn id="44" name="Borders(-2).LineStyle" dataDxfId="128"/>
    <tableColumn id="45" name="Borders(-2).LineWidth" dataDxfId="127"/>
    <tableColumn id="46" name="Borders(-3)" dataDxfId="126"/>
    <tableColumn id="47" name="Borders(-3).Color" dataDxfId="125"/>
    <tableColumn id="48" name="Borders(-3).LineStyle" dataDxfId="124"/>
    <tableColumn id="49" name="Borders(-3).LineWidth" dataDxfId="123"/>
    <tableColumn id="50" name="Borders(-4)" dataDxfId="122"/>
    <tableColumn id="51" name="Borders(-4).Color" dataDxfId="121"/>
    <tableColumn id="52" name="Borders(-4).LineStyle" dataDxfId="120"/>
    <tableColumn id="53" name="Borders(-4).LineWidth" dataDxfId="119"/>
    <tableColumn id="54" name="Borders.DistanceFromLeft" dataDxfId="118"/>
    <tableColumn id="55" name="Borders.DistanceFromRight" dataDxfId="117"/>
    <tableColumn id="56" name="Borders.DistanceFromTop" dataDxfId="116"/>
    <tableColumn id="57" name="Borders.DistanceFromBottom" dataDxfId="115"/>
    <tableColumn id="58" name="ParagraphFormat.Shading.BackgroundPatternColor" dataDxfId="114"/>
    <tableColumn id="59" name="Font.Borders(1).Color" dataDxfId="113"/>
    <tableColumn id="60" name="Font.Borders(1).LineStyle" dataDxfId="112"/>
    <tableColumn id="61" name="Font.Borders(1).LineWidth" dataDxfId="111"/>
    <tableColumn id="62" name="Font.Shading.BackgroundPatternColor" dataDxfId="110"/>
    <tableColumn id="63" name="BaseStyle" dataDxfId="109"/>
    <tableColumn id="64" name="ListLevelNumber" dataDxfId="108"/>
    <tableColumn id="65" name="NoProofing" dataDxfId="107"/>
    <tableColumn id="66" name="no_export.tag" dataDxfId="106"/>
    <tableColumn id="67" name="no_export.requiredparent" dataDxfId="105"/>
    <tableColumn id="68" name="no_export.toplevelparent" dataDxfId="104"/>
    <tableColumn id="69" name="no_export.parentdatatype" dataDxfId="103"/>
    <tableColumn id="70" name="no_export.parent" dataDxfId="102"/>
    <tableColumn id="71" name="html.partheads" dataDxfId="101"/>
    <tableColumn id="72" name="html.headingparas" dataDxfId="100"/>
    <tableColumn id="73" name="html.extractparas" dataDxfId="99"/>
    <tableColumn id="74" name="html.epigraphparas" dataDxfId="98"/>
    <tableColumn id="75" name="html.verseparas" dataDxfId="97"/>
    <tableColumn id="100" name="html.containerparas" dataDxfId="96"/>
    <tableColumn id="99" name="html.containerendparas" dataDxfId="95"/>
    <tableColumn id="78" name="html.illustrationparas" dataDxfId="94"/>
    <tableColumn id="79" name="html.imageholders" dataDxfId="93"/>
    <tableColumn id="80" name="html.captionparas" dataDxfId="92"/>
    <tableColumn id="81" name="html.illustrationsrcparas" dataDxfId="91"/>
    <tableColumn id="82" name="html.unorderedlistparaslevel1" dataDxfId="90"/>
    <tableColumn id="83" name="html.orderedlistparaslevel1" dataDxfId="89"/>
    <tableColumn id="84" name="html.unorderedlistparaslevel2" dataDxfId="88"/>
    <tableColumn id="85" name="html.orderedlistparaslevel2" dataDxfId="87"/>
    <tableColumn id="101" name="html.unorderedlistparaslevel3" dataDxfId="86"/>
    <tableColumn id="102" name="html.orderedlistparaslevel3" dataDxfId="85"/>
    <tableColumn id="103" name="html.listparaparas" dataDxfId="84"/>
    <tableColumn id="97" name="html.chaptertitleparas" dataDxfId="83"/>
    <tableColumn id="98" name="html.chapternumberparas" dataDxfId="82"/>
    <tableColumn id="86" name="html.omitparas" dataDxfId="81"/>
    <tableColumn id="87" name="html.versatileblockparas" dataDxfId="80"/>
    <tableColumn id="88" name="html.toplevelheads.type" dataDxfId="79"/>
    <tableColumn id="93" name="html.toplevelheads.label" dataDxfId="78"/>
    <tableColumn id="107" name="html.toplevelheads.tocexclude" dataDxfId="77"/>
    <tableColumn id="89" name="html.toplevelheads.class" dataDxfId="76"/>
    <tableColumn id="90" name="no_export.class" dataDxfId="75">
      <calculatedColumnFormula>"."&amp;SUBSTITUTE(SUBSTITUTE(SUBSTITUTE(SUBSTITUTE(A4, "(",""),")","")," ",""),"#","")</calculatedColumnFormula>
    </tableColumn>
    <tableColumn id="91" name="no_export.notes" dataDxfId="74"/>
    <tableColumn id="94" name="vba.versatileparas" dataDxfId="73"/>
    <tableColumn id="96" name="vba.bookmakerstyles" dataDxfId="72"/>
    <tableColumn id="92" name="vba.allowedblankparas" dataDxfId="71"/>
    <tableColumn id="95" name="vba.sectionstarts" dataDxfId="7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X231"/>
  <sheetViews>
    <sheetView tabSelected="1" topLeftCell="A179" zoomScale="70" zoomScaleNormal="70" workbookViewId="0">
      <pane xSplit="1" topLeftCell="AX1" activePane="topRight" state="frozen"/>
      <selection pane="topRight" activeCell="AX193" sqref="AX193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24.58203125" style="7" customWidth="1"/>
    <col min="77" max="77" width="26.6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1" width="25.6640625" style="7" customWidth="1"/>
    <col min="82" max="82" width="30.082031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8.1640625" style="7" customWidth="1"/>
    <col min="87" max="87" width="26.5" style="7" customWidth="1"/>
    <col min="88" max="88" width="24.83203125" style="7" customWidth="1"/>
    <col min="89" max="89" width="22.83203125" style="7" customWidth="1"/>
    <col min="90" max="90" width="26.1640625" style="7" customWidth="1"/>
    <col min="91" max="91" width="17.6640625" style="7" customWidth="1"/>
    <col min="92" max="92" width="26" style="7" customWidth="1"/>
    <col min="93" max="93" width="25.1640625" style="7" customWidth="1"/>
    <col min="94" max="95" width="25.6640625" style="7" customWidth="1"/>
    <col min="96" max="96" width="26.1640625" style="7" customWidth="1"/>
    <col min="97" max="97" width="34.1640625" style="7" customWidth="1"/>
    <col min="98" max="98" width="21.1640625" style="7" customWidth="1"/>
    <col min="99" max="101" width="22.6640625" style="7" customWidth="1"/>
    <col min="102" max="102" width="17" style="7" customWidth="1"/>
    <col min="103" max="16384" width="10.6640625" style="7"/>
  </cols>
  <sheetData>
    <row r="1" spans="1:102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295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9"/>
      <c r="CU1" s="64" t="s">
        <v>324</v>
      </c>
      <c r="CV1" s="65"/>
      <c r="CW1" s="65"/>
      <c r="CX1" s="66"/>
    </row>
    <row r="2" spans="1:102" s="4" customFormat="1" ht="93">
      <c r="A2" s="21" t="s">
        <v>207</v>
      </c>
      <c r="B2" s="20" t="s">
        <v>209</v>
      </c>
      <c r="C2" s="75" t="s">
        <v>336</v>
      </c>
      <c r="D2" s="76"/>
      <c r="E2" s="15" t="s">
        <v>95</v>
      </c>
      <c r="F2" s="21" t="s">
        <v>211</v>
      </c>
      <c r="G2" s="21" t="s">
        <v>210</v>
      </c>
      <c r="H2" s="15" t="s">
        <v>430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243</v>
      </c>
      <c r="BO2" s="27" t="s">
        <v>244</v>
      </c>
      <c r="BP2" s="27" t="s">
        <v>245</v>
      </c>
      <c r="BQ2" s="27" t="s">
        <v>246</v>
      </c>
      <c r="BR2" s="27" t="s">
        <v>247</v>
      </c>
      <c r="BS2" s="27" t="s">
        <v>285</v>
      </c>
      <c r="BT2" s="27" t="s">
        <v>286</v>
      </c>
      <c r="BU2" s="27" t="s">
        <v>287</v>
      </c>
      <c r="BV2" s="27" t="s">
        <v>288</v>
      </c>
      <c r="BW2" s="27" t="s">
        <v>289</v>
      </c>
      <c r="BX2" s="27" t="s">
        <v>734</v>
      </c>
      <c r="BY2" s="27" t="s">
        <v>722</v>
      </c>
      <c r="BZ2" s="27" t="s">
        <v>290</v>
      </c>
      <c r="CA2" s="27" t="s">
        <v>291</v>
      </c>
      <c r="CB2" s="27" t="s">
        <v>292</v>
      </c>
      <c r="CC2" s="27" t="s">
        <v>293</v>
      </c>
      <c r="CD2" s="27" t="s">
        <v>737</v>
      </c>
      <c r="CE2" s="27" t="s">
        <v>739</v>
      </c>
      <c r="CF2" s="27" t="s">
        <v>740</v>
      </c>
      <c r="CG2" s="27" t="s">
        <v>741</v>
      </c>
      <c r="CH2" s="27" t="s">
        <v>745</v>
      </c>
      <c r="CI2" s="27" t="s">
        <v>744</v>
      </c>
      <c r="CJ2" s="27" t="s">
        <v>749</v>
      </c>
      <c r="CK2" s="27" t="s">
        <v>335</v>
      </c>
      <c r="CL2" s="27" t="s">
        <v>334</v>
      </c>
      <c r="CM2" s="27" t="s">
        <v>294</v>
      </c>
      <c r="CN2" s="27" t="s">
        <v>296</v>
      </c>
      <c r="CO2" s="27" t="s">
        <v>251</v>
      </c>
      <c r="CP2" s="27" t="s">
        <v>308</v>
      </c>
      <c r="CQ2" s="27" t="s">
        <v>751</v>
      </c>
      <c r="CR2" s="27" t="s">
        <v>268</v>
      </c>
      <c r="CS2" s="27" t="s">
        <v>248</v>
      </c>
      <c r="CT2" s="27" t="s">
        <v>249</v>
      </c>
      <c r="CU2" s="33" t="s">
        <v>325</v>
      </c>
      <c r="CV2" s="35"/>
      <c r="CW2" s="35"/>
      <c r="CX2" s="34" t="s">
        <v>327</v>
      </c>
    </row>
    <row r="3" spans="1:102" s="18" customFormat="1" ht="17">
      <c r="A3" s="28" t="s">
        <v>322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300</v>
      </c>
      <c r="BO3" s="28" t="s">
        <v>301</v>
      </c>
      <c r="BP3" s="28" t="s">
        <v>302</v>
      </c>
      <c r="BQ3" s="28" t="s">
        <v>303</v>
      </c>
      <c r="BR3" s="28" t="s">
        <v>304</v>
      </c>
      <c r="BS3" s="28" t="s">
        <v>276</v>
      </c>
      <c r="BT3" s="28" t="s">
        <v>277</v>
      </c>
      <c r="BU3" s="28" t="s">
        <v>278</v>
      </c>
      <c r="BV3" s="28" t="s">
        <v>279</v>
      </c>
      <c r="BW3" s="28" t="s">
        <v>735</v>
      </c>
      <c r="BX3" s="28" t="s">
        <v>724</v>
      </c>
      <c r="BY3" s="28" t="s">
        <v>721</v>
      </c>
      <c r="BZ3" s="28" t="s">
        <v>280</v>
      </c>
      <c r="CA3" s="28" t="s">
        <v>281</v>
      </c>
      <c r="CB3" s="28" t="s">
        <v>282</v>
      </c>
      <c r="CC3" s="28" t="s">
        <v>283</v>
      </c>
      <c r="CD3" s="28" t="s">
        <v>736</v>
      </c>
      <c r="CE3" s="28" t="s">
        <v>738</v>
      </c>
      <c r="CF3" s="28" t="s">
        <v>742</v>
      </c>
      <c r="CG3" s="28" t="s">
        <v>743</v>
      </c>
      <c r="CH3" s="28" t="s">
        <v>747</v>
      </c>
      <c r="CI3" s="28" t="s">
        <v>746</v>
      </c>
      <c r="CJ3" s="28" t="s">
        <v>748</v>
      </c>
      <c r="CK3" s="28" t="s">
        <v>332</v>
      </c>
      <c r="CL3" s="28" t="s">
        <v>333</v>
      </c>
      <c r="CM3" s="28" t="s">
        <v>284</v>
      </c>
      <c r="CN3" s="28" t="s">
        <v>297</v>
      </c>
      <c r="CO3" s="28" t="s">
        <v>305</v>
      </c>
      <c r="CP3" s="28" t="s">
        <v>307</v>
      </c>
      <c r="CQ3" s="28" t="s">
        <v>750</v>
      </c>
      <c r="CR3" s="28" t="s">
        <v>306</v>
      </c>
      <c r="CS3" s="28" t="s">
        <v>298</v>
      </c>
      <c r="CT3" s="28" t="s">
        <v>299</v>
      </c>
      <c r="CU3" s="32" t="s">
        <v>323</v>
      </c>
      <c r="CV3" s="32" t="s">
        <v>329</v>
      </c>
      <c r="CW3" s="32" t="s">
        <v>328</v>
      </c>
      <c r="CX3" s="32" t="s">
        <v>326</v>
      </c>
    </row>
    <row r="4" spans="1:102">
      <c r="A4" s="38" t="str">
        <f t="shared" ref="A4:A101" si="0">IF($D4="","",TRIM($C4)&amp;" "&amp;CHAR(40)&amp;TRIM($D4)&amp;CHAR(41))</f>
        <v>Section-Book (BOOK)</v>
      </c>
      <c r="B4" s="5"/>
      <c r="C4" s="5" t="s">
        <v>691</v>
      </c>
      <c r="D4" s="6" t="s">
        <v>690</v>
      </c>
      <c r="E4" s="7" t="s">
        <v>432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700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242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>
      <c r="A5" s="38" t="str">
        <f t="shared" si="0"/>
        <v>Section-Front-Sales (SFS)</v>
      </c>
      <c r="B5" s="5"/>
      <c r="C5" s="5" t="s">
        <v>240</v>
      </c>
      <c r="D5" s="6" t="s">
        <v>640</v>
      </c>
      <c r="E5" s="5" t="s">
        <v>670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242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671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252</v>
      </c>
      <c r="CP5" s="7" t="s">
        <v>309</v>
      </c>
      <c r="CQ5" s="7" t="b">
        <v>1</v>
      </c>
      <c r="CR5" s="7" t="s">
        <v>269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>
      <c r="A6" s="38" t="str">
        <f t="shared" si="0"/>
        <v>Section-Halftitle (SHT)</v>
      </c>
      <c r="B6" s="5"/>
      <c r="C6" s="5" t="s">
        <v>213</v>
      </c>
      <c r="D6" s="6" t="s">
        <v>641</v>
      </c>
      <c r="E6" s="5" t="s">
        <v>670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242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671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253</v>
      </c>
      <c r="CP6" s="7" t="s">
        <v>310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>
      <c r="A7" s="38" t="str">
        <f t="shared" si="0"/>
        <v>Section-Ad-Card (SAC)</v>
      </c>
      <c r="B7" s="5"/>
      <c r="C7" s="5" t="s">
        <v>212</v>
      </c>
      <c r="D7" s="6" t="s">
        <v>642</v>
      </c>
      <c r="E7" s="5" t="s">
        <v>669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242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671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252</v>
      </c>
      <c r="CP7" s="7" t="s">
        <v>312</v>
      </c>
      <c r="CQ7" s="7" t="b">
        <v>1</v>
      </c>
      <c r="CR7" s="7" t="s">
        <v>271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>
      <c r="A8" s="38" t="str">
        <f t="shared" si="0"/>
        <v>Section-Series-Page (SSP)</v>
      </c>
      <c r="B8" s="5"/>
      <c r="C8" s="5" t="s">
        <v>241</v>
      </c>
      <c r="D8" s="6" t="s">
        <v>643</v>
      </c>
      <c r="E8" s="5" t="s">
        <v>669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242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671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252</v>
      </c>
      <c r="CP8" s="7" t="s">
        <v>311</v>
      </c>
      <c r="CQ8" s="7" t="b">
        <v>1</v>
      </c>
      <c r="CR8" s="7" t="s">
        <v>270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>
      <c r="A9" s="38" t="str">
        <f t="shared" si="0"/>
        <v>Section-Titlepage (STI)</v>
      </c>
      <c r="B9" s="5"/>
      <c r="C9" s="5" t="s">
        <v>214</v>
      </c>
      <c r="D9" s="6" t="s">
        <v>644</v>
      </c>
      <c r="E9" s="5" t="s">
        <v>670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242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671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254</v>
      </c>
      <c r="CP9" s="7" t="s">
        <v>313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>
      <c r="A10" s="38" t="str">
        <f t="shared" si="0"/>
        <v>Section-Copyright (SCR)</v>
      </c>
      <c r="B10" s="5"/>
      <c r="C10" s="5" t="s">
        <v>220</v>
      </c>
      <c r="D10" s="6" t="s">
        <v>645</v>
      </c>
      <c r="E10" s="5" t="s">
        <v>432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242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671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255</v>
      </c>
      <c r="CP10" s="7" t="s">
        <v>314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>
      <c r="A11" s="38" t="str">
        <f t="shared" si="0"/>
        <v>Section-Ebook-Copyright (SECR)</v>
      </c>
      <c r="B11" s="5"/>
      <c r="C11" s="5" t="s">
        <v>433</v>
      </c>
      <c r="D11" s="6" t="s">
        <v>646</v>
      </c>
      <c r="E11" s="5" t="s">
        <v>432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752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242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672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255</v>
      </c>
      <c r="CP11" s="7" t="s">
        <v>314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" customHeight="1">
      <c r="A12" s="38" t="str">
        <f t="shared" si="0"/>
        <v>Section-Dedication (SDE)</v>
      </c>
      <c r="B12" s="5"/>
      <c r="C12" s="5" t="s">
        <v>221</v>
      </c>
      <c r="D12" s="6" t="s">
        <v>647</v>
      </c>
      <c r="E12" s="5" t="s">
        <v>431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242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671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256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>
      <c r="A13" s="38" t="str">
        <f t="shared" si="0"/>
        <v>Section-Epigraph (SEP)</v>
      </c>
      <c r="B13" s="5"/>
      <c r="C13" s="5" t="s">
        <v>222</v>
      </c>
      <c r="D13" s="6" t="s">
        <v>648</v>
      </c>
      <c r="E13" s="5" t="s">
        <v>432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242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671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252</v>
      </c>
      <c r="CP13" s="7" t="s">
        <v>315</v>
      </c>
      <c r="CQ13" s="7" t="b">
        <v>1</v>
      </c>
      <c r="CR13" s="7" t="s">
        <v>250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>
      <c r="A14" s="38" t="str">
        <f t="shared" si="0"/>
        <v>Section-Contents (STC)</v>
      </c>
      <c r="B14" s="5"/>
      <c r="C14" s="5" t="s">
        <v>223</v>
      </c>
      <c r="D14" s="6" t="s">
        <v>649</v>
      </c>
      <c r="E14" s="5" t="s">
        <v>669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242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671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252</v>
      </c>
      <c r="CP14" s="7" t="s">
        <v>316</v>
      </c>
      <c r="CQ14" s="7" t="b">
        <v>1</v>
      </c>
      <c r="CR14" s="7" t="s">
        <v>331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>
      <c r="A15" s="38" t="str">
        <f t="shared" si="0"/>
        <v>Section-Foreword (SFW)</v>
      </c>
      <c r="B15" s="5"/>
      <c r="C15" s="5" t="s">
        <v>225</v>
      </c>
      <c r="D15" s="6" t="s">
        <v>650</v>
      </c>
      <c r="E15" s="5" t="s">
        <v>669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242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671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257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>
      <c r="A16" s="38" t="str">
        <f t="shared" si="0"/>
        <v>Section-Preface (SPF)</v>
      </c>
      <c r="B16" s="5"/>
      <c r="C16" s="5" t="s">
        <v>224</v>
      </c>
      <c r="D16" s="6" t="s">
        <v>651</v>
      </c>
      <c r="E16" s="5" t="s">
        <v>669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242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671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252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>
      <c r="A17" s="38" t="str">
        <f t="shared" si="0"/>
        <v>Section-Front-Matter-General (SFM)</v>
      </c>
      <c r="B17" s="5"/>
      <c r="C17" s="5" t="s">
        <v>437</v>
      </c>
      <c r="D17" s="6" t="s">
        <v>652</v>
      </c>
      <c r="E17" s="5" t="s">
        <v>669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242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671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252</v>
      </c>
      <c r="CP17" s="7" t="s">
        <v>716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>
      <c r="A18" s="38" t="str">
        <f t="shared" si="0"/>
        <v>Section-Introduction (SIC)</v>
      </c>
      <c r="B18" s="5"/>
      <c r="C18" s="5" t="s">
        <v>639</v>
      </c>
      <c r="D18" s="6" t="s">
        <v>653</v>
      </c>
      <c r="E18" s="5" t="s">
        <v>669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242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671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258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>
      <c r="A19" s="38" t="str">
        <f t="shared" si="0"/>
        <v>Section-Part (SPT)</v>
      </c>
      <c r="B19" s="5"/>
      <c r="C19" s="5" t="s">
        <v>226</v>
      </c>
      <c r="D19" s="6" t="s">
        <v>654</v>
      </c>
      <c r="E19" s="5" t="s">
        <v>670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242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673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260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>
      <c r="A20" s="38" t="str">
        <f t="shared" si="0"/>
        <v>Section-Chapter (SCP)</v>
      </c>
      <c r="B20" s="5"/>
      <c r="C20" s="5" t="s">
        <v>227</v>
      </c>
      <c r="D20" s="6" t="s">
        <v>655</v>
      </c>
      <c r="E20" s="5" t="s">
        <v>670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242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674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259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>
      <c r="A21" s="38" t="str">
        <f t="shared" si="0"/>
        <v>Section-Recipe (SREC)</v>
      </c>
      <c r="B21" s="5"/>
      <c r="C21" s="5" t="s">
        <v>434</v>
      </c>
      <c r="D21" s="6" t="s">
        <v>656</v>
      </c>
      <c r="E21" s="5" t="s">
        <v>670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242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674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259</v>
      </c>
      <c r="CP21" s="7" t="s">
        <v>717</v>
      </c>
      <c r="CQ21" s="7" t="b">
        <v>1</v>
      </c>
      <c r="CR21" s="7" t="s">
        <v>720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>
      <c r="A22" s="38" t="str">
        <f t="shared" si="0"/>
        <v>Section-Interlude (SIN)</v>
      </c>
      <c r="B22" s="5"/>
      <c r="C22" s="5" t="s">
        <v>435</v>
      </c>
      <c r="D22" s="6" t="s">
        <v>657</v>
      </c>
      <c r="E22" s="5" t="s">
        <v>670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242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674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259</v>
      </c>
      <c r="CP22" s="7" t="s">
        <v>718</v>
      </c>
      <c r="CR22" s="7" t="s">
        <v>719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>
      <c r="A23" s="38" t="str">
        <f t="shared" si="0"/>
        <v>Section-Conclusion (SCL)</v>
      </c>
      <c r="B23" s="5"/>
      <c r="C23" s="5" t="s">
        <v>230</v>
      </c>
      <c r="D23" s="6" t="s">
        <v>658</v>
      </c>
      <c r="E23" s="5" t="s">
        <v>669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242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674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261</v>
      </c>
      <c r="CP23" s="7" t="s">
        <v>317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>
      <c r="A24" s="38" t="str">
        <f t="shared" si="0"/>
        <v>Section-Afterword (SAW)</v>
      </c>
      <c r="B24" s="5"/>
      <c r="C24" s="5" t="s">
        <v>229</v>
      </c>
      <c r="D24" s="6" t="s">
        <v>659</v>
      </c>
      <c r="E24" s="5" t="s">
        <v>669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752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242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263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>
      <c r="A25" s="38" t="str">
        <f t="shared" si="0"/>
        <v>Section-Acknowledgments (SAK)</v>
      </c>
      <c r="B25" s="5"/>
      <c r="C25" s="5" t="s">
        <v>231</v>
      </c>
      <c r="D25" s="6" t="s">
        <v>660</v>
      </c>
      <c r="E25" s="5" t="s">
        <v>669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752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242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264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>
      <c r="A26" s="38" t="str">
        <f t="shared" si="0"/>
        <v>Section-Appendix (SAP)</v>
      </c>
      <c r="B26" s="5"/>
      <c r="C26" s="5" t="s">
        <v>228</v>
      </c>
      <c r="D26" s="6" t="s">
        <v>661</v>
      </c>
      <c r="E26" s="5" t="s">
        <v>669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752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242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262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>
      <c r="A27" s="38" t="str">
        <f t="shared" si="0"/>
        <v>Section-Glossary (SGL)</v>
      </c>
      <c r="B27" s="5"/>
      <c r="C27" s="5" t="s">
        <v>232</v>
      </c>
      <c r="D27" s="6" t="s">
        <v>683</v>
      </c>
      <c r="E27" s="5" t="s">
        <v>669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752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242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265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>
      <c r="A28" s="38" t="str">
        <f t="shared" si="0"/>
        <v>Section-Excerpt-Chapter (SEC)</v>
      </c>
      <c r="B28" s="5"/>
      <c r="C28" s="5" t="s">
        <v>236</v>
      </c>
      <c r="D28" s="6" t="s">
        <v>662</v>
      </c>
      <c r="E28" s="5" t="s">
        <v>670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752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242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262</v>
      </c>
      <c r="CP28" s="7" t="s">
        <v>319</v>
      </c>
      <c r="CQ28" s="7" t="b">
        <v>1</v>
      </c>
      <c r="CR28" s="7" t="s">
        <v>274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>
      <c r="A29" s="38" t="str">
        <f t="shared" si="0"/>
        <v>Section-Excerpt-Opener (SEO)</v>
      </c>
      <c r="B29" s="5"/>
      <c r="C29" s="5" t="s">
        <v>235</v>
      </c>
      <c r="D29" s="6" t="s">
        <v>663</v>
      </c>
      <c r="E29" s="5" t="s">
        <v>669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752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242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262</v>
      </c>
      <c r="CP29" s="7" t="s">
        <v>318</v>
      </c>
      <c r="CR29" s="7" t="s">
        <v>273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>
      <c r="A30" s="38" t="str">
        <f t="shared" si="0"/>
        <v>Section-Bibliography (SBI)</v>
      </c>
      <c r="B30" s="5"/>
      <c r="C30" s="5" t="s">
        <v>234</v>
      </c>
      <c r="D30" s="6" t="s">
        <v>664</v>
      </c>
      <c r="E30" s="5" t="s">
        <v>669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752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242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266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>
      <c r="A31" s="38" t="str">
        <f t="shared" si="0"/>
        <v>Section-Notes (SNT)</v>
      </c>
      <c r="B31" s="5"/>
      <c r="C31" s="5" t="s">
        <v>233</v>
      </c>
      <c r="D31" s="6" t="s">
        <v>665</v>
      </c>
      <c r="E31" s="5" t="s">
        <v>669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752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242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262</v>
      </c>
      <c r="CP31" s="7" t="s">
        <v>249</v>
      </c>
      <c r="CR31" s="7" t="s">
        <v>272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>
      <c r="A32" s="38" t="str">
        <f t="shared" si="0"/>
        <v>Section-About-Author (SAA)</v>
      </c>
      <c r="B32" s="5"/>
      <c r="C32" s="5" t="s">
        <v>237</v>
      </c>
      <c r="D32" s="6" t="s">
        <v>666</v>
      </c>
      <c r="E32" s="5" t="s">
        <v>669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752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242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672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262</v>
      </c>
      <c r="CP32" s="7" t="s">
        <v>320</v>
      </c>
      <c r="CR32" s="7" t="s">
        <v>275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>
      <c r="A33" s="38" t="str">
        <f t="shared" si="0"/>
        <v>Section-Back-Ad (SBA)</v>
      </c>
      <c r="B33" s="5"/>
      <c r="C33" s="5" t="s">
        <v>238</v>
      </c>
      <c r="D33" s="6" t="s">
        <v>667</v>
      </c>
      <c r="E33" s="5" t="s">
        <v>670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752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242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262</v>
      </c>
      <c r="CP33" s="7" t="s">
        <v>321</v>
      </c>
      <c r="CQ33" s="7" t="b">
        <v>1</v>
      </c>
      <c r="CR33" s="7" t="s">
        <v>330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>
      <c r="A34" s="38" t="str">
        <f t="shared" si="0"/>
        <v>Section-Index (SIN)</v>
      </c>
      <c r="B34" s="5"/>
      <c r="C34" s="5" t="s">
        <v>239</v>
      </c>
      <c r="D34" s="6" t="s">
        <v>657</v>
      </c>
      <c r="E34" s="5" t="s">
        <v>669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752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242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267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>
      <c r="A35" s="38" t="str">
        <f t="shared" si="0"/>
        <v>Section-Back-Matter-General (SBM)</v>
      </c>
      <c r="B35" s="5"/>
      <c r="C35" s="5" t="s">
        <v>436</v>
      </c>
      <c r="D35" s="6" t="s">
        <v>668</v>
      </c>
      <c r="E35" s="5" t="s">
        <v>669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752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242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262</v>
      </c>
      <c r="CP35" s="7" t="s">
        <v>715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>
      <c r="A36" s="38" t="str">
        <f t="shared" si="0"/>
        <v>Number (Num)</v>
      </c>
      <c r="C36" s="7" t="s">
        <v>337</v>
      </c>
      <c r="D36" s="6" t="s">
        <v>338</v>
      </c>
      <c r="E36" s="5" t="s">
        <v>670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674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>
      <c r="A37" s="38" t="str">
        <f t="shared" si="0"/>
        <v>Title (Ttl)</v>
      </c>
      <c r="C37" s="7" t="s">
        <v>339</v>
      </c>
      <c r="D37" s="7" t="s">
        <v>589</v>
      </c>
      <c r="E37" s="7" t="s">
        <v>432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674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>
      <c r="A38" s="38" t="str">
        <f t="shared" si="0"/>
        <v>Main-Head (MHead)</v>
      </c>
      <c r="C38" s="7" t="s">
        <v>340</v>
      </c>
      <c r="D38" s="7" t="s">
        <v>634</v>
      </c>
      <c r="E38" s="7" t="s">
        <v>432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674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>
      <c r="A39" s="38" t="str">
        <f t="shared" si="0"/>
        <v>Subtitle (Sttl)</v>
      </c>
      <c r="C39" s="7" t="s">
        <v>341</v>
      </c>
      <c r="D39" s="7" t="s">
        <v>590</v>
      </c>
      <c r="E39" s="7" t="s">
        <v>432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674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>
      <c r="A40" s="38" t="str">
        <f t="shared" si="0"/>
        <v>Author1 (Au1)</v>
      </c>
      <c r="C40" s="7" t="s">
        <v>438</v>
      </c>
      <c r="D40" s="7" t="s">
        <v>440</v>
      </c>
      <c r="E40" s="7" t="s">
        <v>432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674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>
      <c r="A41" s="38" t="str">
        <f t="shared" si="0"/>
        <v>Author2 (Au2)</v>
      </c>
      <c r="C41" s="7" t="s">
        <v>439</v>
      </c>
      <c r="D41" s="7" t="s">
        <v>441</v>
      </c>
      <c r="E41" s="7" t="s">
        <v>432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674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>
      <c r="A42" s="38" t="str">
        <f>IF($D42="","",TRIM($C42)&amp;" "&amp;CHAR(40)&amp;TRIM($D42)&amp;CHAR(41))</f>
        <v>Author3 (Au3)</v>
      </c>
      <c r="C42" s="7" t="s">
        <v>569</v>
      </c>
      <c r="D42" s="7" t="s">
        <v>570</v>
      </c>
      <c r="E42" s="7" t="s">
        <v>432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674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>
      <c r="A43" s="38" t="str">
        <f t="shared" si="0"/>
        <v>A-Head (Ahead)</v>
      </c>
      <c r="C43" s="7" t="s">
        <v>343</v>
      </c>
      <c r="D43" s="7" t="s">
        <v>591</v>
      </c>
      <c r="E43" s="7" t="s">
        <v>432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674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>
      <c r="A44" s="38" t="str">
        <f t="shared" si="0"/>
        <v>B-Head (Bhead)</v>
      </c>
      <c r="C44" s="7" t="s">
        <v>344</v>
      </c>
      <c r="D44" s="7" t="s">
        <v>592</v>
      </c>
      <c r="E44" s="7" t="s">
        <v>432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674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>
      <c r="A45" s="38" t="str">
        <f t="shared" si="0"/>
        <v>C-Head (Chead)</v>
      </c>
      <c r="C45" s="7" t="s">
        <v>345</v>
      </c>
      <c r="D45" s="7" t="s">
        <v>593</v>
      </c>
      <c r="E45" s="7" t="s">
        <v>432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674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>
      <c r="A46" s="38" t="str">
        <f t="shared" si="0"/>
        <v>D-Head (Dhead)</v>
      </c>
      <c r="C46" s="7" t="s">
        <v>346</v>
      </c>
      <c r="D46" s="7" t="s">
        <v>594</v>
      </c>
      <c r="E46" s="7" t="s">
        <v>432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674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>
      <c r="A47" s="38" t="str">
        <f t="shared" si="0"/>
        <v>E-Head (Ehead)</v>
      </c>
      <c r="C47" s="7" t="s">
        <v>347</v>
      </c>
      <c r="D47" s="7" t="s">
        <v>595</v>
      </c>
      <c r="E47" s="7" t="s">
        <v>432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674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>
      <c r="A48" s="38" t="str">
        <f t="shared" si="0"/>
        <v>F-Head (Fhead)</v>
      </c>
      <c r="C48" s="7" t="s">
        <v>348</v>
      </c>
      <c r="D48" s="7" t="s">
        <v>596</v>
      </c>
      <c r="E48" s="7" t="s">
        <v>432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674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>
      <c r="A49" s="38" t="str">
        <f t="shared" si="0"/>
        <v>Body-Text (Tx)</v>
      </c>
      <c r="C49" s="7" t="s">
        <v>349</v>
      </c>
      <c r="D49" s="7" t="s">
        <v>350</v>
      </c>
      <c r="E49" s="7" t="s">
        <v>432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674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>
      <c r="A50" s="38" t="str">
        <f t="shared" si="0"/>
        <v>Body-Text-Continued (Txc)</v>
      </c>
      <c r="C50" s="7" t="s">
        <v>351</v>
      </c>
      <c r="D50" s="7" t="s">
        <v>352</v>
      </c>
      <c r="E50" s="7" t="s">
        <v>432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674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>
      <c r="A51" s="38" t="str">
        <f t="shared" si="0"/>
        <v>Verse1 (Vrs1)</v>
      </c>
      <c r="C51" s="7" t="s">
        <v>442</v>
      </c>
      <c r="D51" s="7" t="s">
        <v>446</v>
      </c>
      <c r="E51" s="7" t="s">
        <v>458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674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>
      <c r="A52" s="38" t="str">
        <f t="shared" si="0"/>
        <v>Verse1-indent1 (Vrs1-i1)</v>
      </c>
      <c r="C52" s="7" t="s">
        <v>443</v>
      </c>
      <c r="D52" s="7" t="s">
        <v>447</v>
      </c>
      <c r="E52" s="7" t="s">
        <v>458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674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>
      <c r="A53" s="38" t="str">
        <f t="shared" si="0"/>
        <v>Verse1-indent2 (Vrs1-i2)</v>
      </c>
      <c r="C53" s="7" t="s">
        <v>444</v>
      </c>
      <c r="D53" s="7" t="s">
        <v>448</v>
      </c>
      <c r="E53" s="7" t="s">
        <v>458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674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>
      <c r="A54" s="38" t="str">
        <f t="shared" si="0"/>
        <v>Verse1-indent3 (Vrs1-i3)</v>
      </c>
      <c r="C54" s="7" t="s">
        <v>445</v>
      </c>
      <c r="D54" s="7" t="s">
        <v>449</v>
      </c>
      <c r="E54" s="7" t="s">
        <v>458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674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>
      <c r="A55" s="38" t="str">
        <f t="shared" si="0"/>
        <v>Verse2 (Vrs2)</v>
      </c>
      <c r="C55" s="7" t="s">
        <v>450</v>
      </c>
      <c r="D55" s="7" t="s">
        <v>451</v>
      </c>
      <c r="E55" s="7" t="s">
        <v>459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674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>
      <c r="A56" s="38" t="str">
        <f t="shared" si="0"/>
        <v>Verse2-indent1 (Vrs2-i1)</v>
      </c>
      <c r="C56" s="7" t="s">
        <v>452</v>
      </c>
      <c r="D56" s="7" t="s">
        <v>455</v>
      </c>
      <c r="E56" s="7" t="s">
        <v>459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674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>
      <c r="A57" s="38" t="str">
        <f t="shared" si="0"/>
        <v>Verse2-indent2 (Vrs2-i2)</v>
      </c>
      <c r="C57" s="7" t="s">
        <v>453</v>
      </c>
      <c r="D57" s="7" t="s">
        <v>456</v>
      </c>
      <c r="E57" s="7" t="s">
        <v>459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674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>
      <c r="A58" s="38" t="str">
        <f t="shared" si="0"/>
        <v>Verse2-indent3 (Vrs2-i3)</v>
      </c>
      <c r="C58" s="7" t="s">
        <v>454</v>
      </c>
      <c r="D58" s="7" t="s">
        <v>457</v>
      </c>
      <c r="E58" s="7" t="s">
        <v>459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674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>
      <c r="A59" s="38" t="str">
        <f t="shared" si="0"/>
        <v>Quotation (Quo)</v>
      </c>
      <c r="C59" s="7" t="s">
        <v>353</v>
      </c>
      <c r="D59" s="7" t="s">
        <v>573</v>
      </c>
      <c r="E59" s="7" t="s">
        <v>574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674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>
      <c r="A60" s="38" t="str">
        <f t="shared" si="0"/>
        <v>Extract1 (Ext1)</v>
      </c>
      <c r="C60" s="7" t="s">
        <v>460</v>
      </c>
      <c r="D60" s="7" t="s">
        <v>461</v>
      </c>
      <c r="E60" s="7" t="s">
        <v>464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674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>
      <c r="A61" s="38" t="str">
        <f t="shared" si="0"/>
        <v>Extract2 (Ext2)</v>
      </c>
      <c r="C61" s="7" t="s">
        <v>462</v>
      </c>
      <c r="D61" s="7" t="s">
        <v>463</v>
      </c>
      <c r="E61" s="7" t="s">
        <v>465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674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>
      <c r="A62" s="38" t="str">
        <f t="shared" si="0"/>
        <v>Source (Src)</v>
      </c>
      <c r="C62" s="7" t="s">
        <v>354</v>
      </c>
      <c r="D62" s="7" t="s">
        <v>355</v>
      </c>
      <c r="E62" s="7" t="s">
        <v>432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674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>
      <c r="A63" s="38" t="str">
        <f t="shared" si="0"/>
        <v>Epigraph-Non-Verse (Epi)</v>
      </c>
      <c r="C63" s="7" t="s">
        <v>466</v>
      </c>
      <c r="D63" s="7" t="s">
        <v>467</v>
      </c>
      <c r="E63" s="7" t="s">
        <v>468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674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>
      <c r="A64" s="38" t="str">
        <f t="shared" si="0"/>
        <v>Epigraph-Verse (Epiv)</v>
      </c>
      <c r="C64" s="7" t="s">
        <v>469</v>
      </c>
      <c r="D64" s="7" t="s">
        <v>470</v>
      </c>
      <c r="E64" s="7" t="s">
        <v>471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674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>
      <c r="A65" s="38" t="str">
        <f t="shared" si="0"/>
        <v>Epigraph-Source (Episrc)</v>
      </c>
      <c r="C65" s="7" t="s">
        <v>472</v>
      </c>
      <c r="D65" s="7" t="s">
        <v>706</v>
      </c>
      <c r="E65" s="7" t="s">
        <v>432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674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>
      <c r="A66" s="38" t="str">
        <f t="shared" si="0"/>
        <v>Headnote (Hdnt)</v>
      </c>
      <c r="C66" s="7" t="s">
        <v>342</v>
      </c>
      <c r="D66" s="7" t="s">
        <v>597</v>
      </c>
      <c r="E66" s="7" t="s">
        <v>432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674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>
      <c r="A67" s="38" t="str">
        <f t="shared" si="0"/>
        <v>Dateline (Date)</v>
      </c>
      <c r="C67" s="7" t="s">
        <v>356</v>
      </c>
      <c r="D67" s="7" t="s">
        <v>357</v>
      </c>
      <c r="E67" s="7" t="s">
        <v>588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674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>
      <c r="A68" s="38" t="str">
        <f t="shared" si="0"/>
        <v>Address (Add)</v>
      </c>
      <c r="C68" s="7" t="s">
        <v>203</v>
      </c>
      <c r="D68" s="7" t="s">
        <v>358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674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>
      <c r="A69" s="38" t="str">
        <f t="shared" si="0"/>
        <v>Location (Loc)</v>
      </c>
      <c r="C69" s="7" t="s">
        <v>359</v>
      </c>
      <c r="D69" s="7" t="s">
        <v>360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674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>
      <c r="A70" s="38" t="str">
        <f t="shared" si="0"/>
        <v>Signature (Sig)</v>
      </c>
      <c r="C70" s="7" t="s">
        <v>361</v>
      </c>
      <c r="D70" s="7" t="s">
        <v>362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674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>
      <c r="A71" s="38" t="str">
        <f t="shared" si="0"/>
        <v>Salutation (Sal)</v>
      </c>
      <c r="C71" s="7" t="s">
        <v>363</v>
      </c>
      <c r="D71" s="7" t="s">
        <v>364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674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>
      <c r="A72" s="38" t="str">
        <f t="shared" si="0"/>
        <v>Closing (Clos)</v>
      </c>
      <c r="C72" s="7" t="s">
        <v>365</v>
      </c>
      <c r="D72" s="7" t="s">
        <v>598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674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>
      <c r="A73" s="38" t="str">
        <f t="shared" si="0"/>
        <v>Postscript (Pst)</v>
      </c>
      <c r="C73" s="7" t="s">
        <v>366</v>
      </c>
      <c r="D73" s="7" t="s">
        <v>367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674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>
      <c r="A74" s="38" t="str">
        <f t="shared" si="0"/>
        <v>Dedication (Ded)</v>
      </c>
      <c r="C74" s="7" t="s">
        <v>205</v>
      </c>
      <c r="D74" s="7" t="s">
        <v>368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674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>
      <c r="A75" s="38" t="str">
        <f t="shared" si="0"/>
        <v>Text-Message (Tmg)</v>
      </c>
      <c r="C75" s="7" t="s">
        <v>369</v>
      </c>
      <c r="D75" s="7" t="s">
        <v>370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674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>
      <c r="A76" s="38" t="str">
        <f t="shared" si="0"/>
        <v>Computer-Text (Comp)</v>
      </c>
      <c r="C76" s="7" t="s">
        <v>473</v>
      </c>
      <c r="D76" s="7" t="s">
        <v>474</v>
      </c>
      <c r="E76" s="38" t="s">
        <v>475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674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>
      <c r="A77" s="38" t="str">
        <f t="shared" si="0"/>
        <v>Custom1 (Cust1)</v>
      </c>
      <c r="C77" s="7" t="s">
        <v>564</v>
      </c>
      <c r="D77" s="7" t="s">
        <v>567</v>
      </c>
      <c r="E77" s="38" t="s">
        <v>571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674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>
      <c r="A78" s="38" t="str">
        <f t="shared" si="0"/>
        <v>Custom2 (Cust2)</v>
      </c>
      <c r="C78" s="7" t="s">
        <v>565</v>
      </c>
      <c r="D78" s="7" t="s">
        <v>566</v>
      </c>
      <c r="E78" s="38" t="s">
        <v>572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674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>
      <c r="A79" s="38" t="str">
        <f t="shared" si="0"/>
        <v>Display1 (Disp1)</v>
      </c>
      <c r="C79" s="7" t="s">
        <v>476</v>
      </c>
      <c r="D79" s="7" t="s">
        <v>477</v>
      </c>
      <c r="E79" s="38" t="s">
        <v>478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674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>
      <c r="A80" s="38" t="str">
        <f t="shared" si="0"/>
        <v>Display2 (Disp2)</v>
      </c>
      <c r="C80" s="7" t="s">
        <v>479</v>
      </c>
      <c r="D80" s="7" t="s">
        <v>480</v>
      </c>
      <c r="E80" s="38" t="s">
        <v>481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674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>
      <c r="A81" s="38" t="str">
        <f>IF($D81="","",TRIM($C81)&amp;" "&amp;CHAR(40)&amp;TRIM($D81)&amp;CHAR(41))</f>
        <v>Table-Head (Tbhd)</v>
      </c>
      <c r="C81" s="7" t="s">
        <v>482</v>
      </c>
      <c r="D81" s="7" t="s">
        <v>483</v>
      </c>
      <c r="E81" s="38" t="s">
        <v>484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674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>
      <c r="A82" s="38" t="str">
        <f>IF($D82="","",TRIM($C82)&amp;" "&amp;CHAR(40)&amp;TRIM($D82)&amp;CHAR(41))</f>
        <v>Table-Subhead (Tbsbhd)</v>
      </c>
      <c r="C82" s="7" t="s">
        <v>485</v>
      </c>
      <c r="D82" s="7" t="s">
        <v>486</v>
      </c>
      <c r="E82" s="38" t="s">
        <v>484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674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>
      <c r="A83" s="38" t="str">
        <f>IF($D83="","",TRIM($C83)&amp;" "&amp;CHAR(40)&amp;TRIM($D83)&amp;CHAR(41))</f>
        <v>Table-Text (Tbtx)</v>
      </c>
      <c r="C83" s="7" t="s">
        <v>487</v>
      </c>
      <c r="D83" s="7" t="s">
        <v>488</v>
      </c>
      <c r="E83" s="38" t="s">
        <v>484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674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>
      <c r="A84" s="38" t="str">
        <f>IF($D84="","",TRIM($C84)&amp;" "&amp;CHAR(40)&amp;TRIM($D84)&amp;CHAR(41))</f>
        <v>Headline (Hdline)</v>
      </c>
      <c r="C84" s="7" t="s">
        <v>489</v>
      </c>
      <c r="D84" s="7" t="s">
        <v>599</v>
      </c>
      <c r="E84" s="7" t="s">
        <v>432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674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>
      <c r="A85" s="38" t="str">
        <f t="shared" si="0"/>
        <v>Byline (Byline)</v>
      </c>
      <c r="C85" s="7" t="s">
        <v>490</v>
      </c>
      <c r="D85" s="7" t="s">
        <v>490</v>
      </c>
      <c r="E85" s="7" t="s">
        <v>432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674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>
      <c r="A86" s="38" t="str">
        <f t="shared" si="0"/>
        <v>Bullet-Level-1-List (Bl1)</v>
      </c>
      <c r="C86" s="7" t="s">
        <v>371</v>
      </c>
      <c r="D86" s="7" t="s">
        <v>600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674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>
      <c r="A87" s="38" t="str">
        <f t="shared" si="0"/>
        <v>Bullet-Level-1-List-Paragraph (Bl1p)</v>
      </c>
      <c r="C87" s="7" t="s">
        <v>491</v>
      </c>
      <c r="D87" s="7" t="s">
        <v>601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674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>
      <c r="A88" s="38" t="str">
        <f t="shared" si="0"/>
        <v>Bullet-Level-2-List (Bl2)</v>
      </c>
      <c r="C88" s="7" t="s">
        <v>372</v>
      </c>
      <c r="D88" s="7" t="s">
        <v>602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674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>
      <c r="A89" s="38" t="str">
        <f t="shared" si="0"/>
        <v>Bullet-Level-2-List-Paragraph (Bl2p)</v>
      </c>
      <c r="C89" s="7" t="s">
        <v>492</v>
      </c>
      <c r="D89" s="7" t="s">
        <v>603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674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>
      <c r="A90" s="38" t="str">
        <f t="shared" si="0"/>
        <v>Bullet-Level-3-List (Bl3)</v>
      </c>
      <c r="C90" s="7" t="s">
        <v>373</v>
      </c>
      <c r="D90" s="7" t="s">
        <v>604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674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>
      <c r="A91" s="38" t="str">
        <f t="shared" si="0"/>
        <v>Bullet-Level-3-List-Paragraph (Bl3p)</v>
      </c>
      <c r="C91" s="7" t="s">
        <v>493</v>
      </c>
      <c r="D91" s="7" t="s">
        <v>605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674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>
      <c r="A92" s="38" t="str">
        <f t="shared" si="0"/>
        <v>Num-Level-1-List (Nl1)</v>
      </c>
      <c r="C92" s="7" t="s">
        <v>374</v>
      </c>
      <c r="D92" s="7" t="s">
        <v>606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674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>
      <c r="A93" s="38" t="str">
        <f t="shared" si="0"/>
        <v>Num-Level-1-List-Paragraph (Nl1p)</v>
      </c>
      <c r="C93" s="7" t="s">
        <v>494</v>
      </c>
      <c r="D93" s="7" t="s">
        <v>607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674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>
      <c r="A94" s="38" t="str">
        <f t="shared" si="0"/>
        <v>Num-Level-2-List (Nl2)</v>
      </c>
      <c r="C94" s="7" t="s">
        <v>375</v>
      </c>
      <c r="D94" s="7" t="s">
        <v>608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674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>
      <c r="A95" s="38" t="str">
        <f t="shared" si="0"/>
        <v>Num-Level-2-List-Paragraph (Nl2p)</v>
      </c>
      <c r="C95" s="7" t="s">
        <v>495</v>
      </c>
      <c r="D95" s="7" t="s">
        <v>609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674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>
      <c r="A96" s="38" t="str">
        <f t="shared" si="0"/>
        <v>Num-Level-3-List (Nl3)</v>
      </c>
      <c r="C96" s="7" t="s">
        <v>376</v>
      </c>
      <c r="D96" s="7" t="s">
        <v>610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674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>
      <c r="A97" s="38" t="str">
        <f t="shared" si="0"/>
        <v>Num-Level-3-List-Paragraph (Nl3p)</v>
      </c>
      <c r="C97" s="7" t="s">
        <v>712</v>
      </c>
      <c r="D97" s="7" t="s">
        <v>611</v>
      </c>
      <c r="E97" s="38" t="str">
        <f t="shared" si="11"/>
        <v>Num-Level-3-List-Paragraph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674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>
      <c r="A98" s="38" t="str">
        <f t="shared" si="0"/>
        <v>Unnum-Level-1-List (Ul1)</v>
      </c>
      <c r="C98" s="7" t="s">
        <v>377</v>
      </c>
      <c r="D98" s="7" t="s">
        <v>612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674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>
      <c r="A99" s="38" t="str">
        <f t="shared" si="0"/>
        <v>Unnum-Level-1-List-Paragraph (Ul1p)</v>
      </c>
      <c r="C99" s="7" t="s">
        <v>496</v>
      </c>
      <c r="D99" s="7" t="s">
        <v>613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674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>
      <c r="A100" s="38" t="str">
        <f t="shared" si="0"/>
        <v>Unnum-Level-2-List (Ul2)</v>
      </c>
      <c r="C100" s="7" t="s">
        <v>378</v>
      </c>
      <c r="D100" s="7" t="s">
        <v>614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674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>
      <c r="A101" s="38" t="str">
        <f t="shared" si="0"/>
        <v>Unnum-Level-2-List-Paragraph (Ul2p)</v>
      </c>
      <c r="C101" s="7" t="s">
        <v>497</v>
      </c>
      <c r="D101" s="7" t="s">
        <v>615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674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>
      <c r="A102" s="38" t="str">
        <f t="shared" ref="A102:A194" si="23">IF($D102="","",TRIM($C102)&amp;" "&amp;CHAR(40)&amp;TRIM($D102)&amp;CHAR(41))</f>
        <v>Unnum-Level-3-List (Ul3)</v>
      </c>
      <c r="C102" s="7" t="s">
        <v>379</v>
      </c>
      <c r="D102" s="7" t="s">
        <v>616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674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>
      <c r="A103" s="38" t="str">
        <f t="shared" si="23"/>
        <v>Unnum-Level-3-List-Paragraph (Ul3p)</v>
      </c>
      <c r="C103" s="7" t="s">
        <v>498</v>
      </c>
      <c r="D103" s="7" t="s">
        <v>617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674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>
      <c r="A104" s="38" t="str">
        <f t="shared" si="23"/>
        <v>Alpha-Level-1-List (Al1)</v>
      </c>
      <c r="C104" s="7" t="s">
        <v>713</v>
      </c>
      <c r="D104" s="7" t="s">
        <v>618</v>
      </c>
      <c r="E104" s="38" t="str">
        <f t="shared" si="11"/>
        <v>Alpha-Level-1-List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674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>
      <c r="A105" s="38" t="str">
        <f t="shared" si="23"/>
        <v>Alpha-Level-1-List-Paragraph (Al1p)</v>
      </c>
      <c r="C105" s="7" t="s">
        <v>707</v>
      </c>
      <c r="D105" s="7" t="s">
        <v>619</v>
      </c>
      <c r="E105" s="38" t="str">
        <f t="shared" si="11"/>
        <v>Alpha-Level-1-List-Paragraph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674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>
      <c r="A106" s="38" t="str">
        <f t="shared" si="23"/>
        <v>Alpha-Level-2-List (Al2)</v>
      </c>
      <c r="C106" s="7" t="s">
        <v>708</v>
      </c>
      <c r="D106" s="7" t="s">
        <v>620</v>
      </c>
      <c r="E106" s="38" t="str">
        <f t="shared" si="11"/>
        <v>Alpha-Level-2-List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674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>
      <c r="A107" s="38" t="str">
        <f t="shared" si="23"/>
        <v>Alpha-Level-2-List-Paragraph (Al2p)</v>
      </c>
      <c r="C107" s="7" t="s">
        <v>709</v>
      </c>
      <c r="D107" s="7" t="s">
        <v>621</v>
      </c>
      <c r="E107" s="38" t="str">
        <f t="shared" si="11"/>
        <v>Alpha-Level-2-List-Paragraph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674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>
      <c r="A108" s="38" t="str">
        <f t="shared" si="23"/>
        <v>Alpha-Level-3-List (Al3)</v>
      </c>
      <c r="C108" s="7" t="s">
        <v>710</v>
      </c>
      <c r="D108" s="7" t="s">
        <v>622</v>
      </c>
      <c r="E108" s="38" t="str">
        <f t="shared" si="11"/>
        <v>Alpha-Level-3-List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674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>
      <c r="A109" s="38" t="str">
        <f t="shared" si="23"/>
        <v>Alpha-Level-3-List-Paragraph (Al3p)</v>
      </c>
      <c r="C109" s="7" t="s">
        <v>711</v>
      </c>
      <c r="D109" s="7" t="s">
        <v>623</v>
      </c>
      <c r="E109" s="38" t="str">
        <f t="shared" si="11"/>
        <v>Alpha-Level-3-List-Paragraph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674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>
      <c r="A110" s="38" t="str">
        <f t="shared" si="23"/>
        <v>Bulleted-Paragraph (Bp)</v>
      </c>
      <c r="C110" s="7" t="s">
        <v>380</v>
      </c>
      <c r="D110" s="7" t="s">
        <v>381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674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>
      <c r="A111" s="38" t="str">
        <f t="shared" si="23"/>
        <v>Numbered-Paragraph (Np)</v>
      </c>
      <c r="C111" s="7" t="s">
        <v>382</v>
      </c>
      <c r="D111" s="7" t="s">
        <v>383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674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>
      <c r="A112" s="38" t="str">
        <f t="shared" si="23"/>
        <v>List-Head (Lhead)</v>
      </c>
      <c r="C112" s="7" t="s">
        <v>499</v>
      </c>
      <c r="D112" s="7" t="s">
        <v>624</v>
      </c>
      <c r="E112" s="7" t="s">
        <v>432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674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>
      <c r="A113" s="38" t="str">
        <f t="shared" si="23"/>
        <v>Generic-Footnote (Ftnt)</v>
      </c>
      <c r="C113" s="7" t="s">
        <v>500</v>
      </c>
      <c r="D113" s="7" t="s">
        <v>501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674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>
      <c r="A114" s="38" t="str">
        <f t="shared" si="23"/>
        <v>Reference-Entry (Ref)</v>
      </c>
      <c r="C114" s="7" t="s">
        <v>384</v>
      </c>
      <c r="D114" s="7" t="s">
        <v>625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674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>
      <c r="A115" s="38" t="str">
        <f t="shared" si="23"/>
        <v>Source-Note (Srcnt)</v>
      </c>
      <c r="C115" s="7" t="s">
        <v>385</v>
      </c>
      <c r="D115" s="7" t="s">
        <v>626</v>
      </c>
      <c r="E115" s="7" t="s">
        <v>432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674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>
      <c r="A116" s="38" t="str">
        <f t="shared" si="23"/>
        <v>Index-Entry (Idx1)</v>
      </c>
      <c r="C116" s="7" t="s">
        <v>502</v>
      </c>
      <c r="D116" s="7" t="s">
        <v>635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>
      <c r="A117" s="38" t="str">
        <f t="shared" si="23"/>
        <v>Index-Sub-Entry (Idx2)</v>
      </c>
      <c r="C117" s="7" t="s">
        <v>503</v>
      </c>
      <c r="D117" s="7" t="s">
        <v>636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>
      <c r="A118" s="38" t="str">
        <f t="shared" si="23"/>
        <v>Index-Sub-Sub-Entry (Idx3)</v>
      </c>
      <c r="C118" s="7" t="s">
        <v>504</v>
      </c>
      <c r="D118" s="7" t="s">
        <v>637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>
      <c r="A119" s="38" t="str">
        <f t="shared" si="23"/>
        <v>Publisher (Pub)</v>
      </c>
      <c r="C119" s="7" t="s">
        <v>505</v>
      </c>
      <c r="D119" s="7" t="s">
        <v>506</v>
      </c>
      <c r="E119" s="7" t="s">
        <v>432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671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>
      <c r="A120" s="38" t="str">
        <f t="shared" si="23"/>
        <v>Cities (Cit)</v>
      </c>
      <c r="C120" s="7" t="s">
        <v>507</v>
      </c>
      <c r="D120" s="7" t="s">
        <v>508</v>
      </c>
      <c r="E120" s="7" t="s">
        <v>432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671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>
      <c r="A121" s="38" t="str">
        <f t="shared" si="23"/>
        <v>Logo-Placement (Logo)</v>
      </c>
      <c r="C121" s="7" t="s">
        <v>386</v>
      </c>
      <c r="D121" s="7" t="s">
        <v>627</v>
      </c>
      <c r="E121" s="7" t="s">
        <v>432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>
      <c r="A122" s="38" t="str">
        <f t="shared" si="23"/>
        <v>Imprint (Imp)</v>
      </c>
      <c r="C122" s="7" t="s">
        <v>387</v>
      </c>
      <c r="D122" s="7" t="s">
        <v>628</v>
      </c>
      <c r="E122" s="7" t="s">
        <v>432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671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>
      <c r="A123" s="38" t="str">
        <f t="shared" si="23"/>
        <v>Image-Placement (Img)</v>
      </c>
      <c r="C123" s="7" t="s">
        <v>576</v>
      </c>
      <c r="D123" s="7" t="s">
        <v>575</v>
      </c>
      <c r="E123" s="7" t="s">
        <v>432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>
      <c r="A124" s="38" t="str">
        <f t="shared" si="23"/>
        <v>Credit-Line (Crd)</v>
      </c>
      <c r="C124" s="7" t="s">
        <v>388</v>
      </c>
      <c r="D124" s="7" t="s">
        <v>389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677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>
      <c r="A125" s="38" t="str">
        <f t="shared" si="23"/>
        <v>Caption (Cap)</v>
      </c>
      <c r="C125" s="7" t="s">
        <v>204</v>
      </c>
      <c r="D125" s="7" t="s">
        <v>390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677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>
      <c r="A126" s="38" t="str">
        <f t="shared" si="23"/>
        <v>Speaker1 (Sp1)</v>
      </c>
      <c r="C126" s="7" t="s">
        <v>577</v>
      </c>
      <c r="D126" s="7" t="s">
        <v>578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674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>
      <c r="A127" s="38" t="str">
        <f t="shared" si="23"/>
        <v>Speaker2 (Sp2)</v>
      </c>
      <c r="C127" s="7" t="s">
        <v>579</v>
      </c>
      <c r="D127" s="7" t="s">
        <v>580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674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>
      <c r="A128" s="38" t="str">
        <f t="shared" si="23"/>
        <v>Dialogue1 (Dia1)</v>
      </c>
      <c r="C128" s="7" t="s">
        <v>509</v>
      </c>
      <c r="D128" s="7" t="s">
        <v>511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674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>
      <c r="A129" s="38" t="str">
        <f t="shared" si="23"/>
        <v>Dialogue2 (Dia2)</v>
      </c>
      <c r="C129" s="7" t="s">
        <v>510</v>
      </c>
      <c r="D129" s="7" t="s">
        <v>512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674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>
      <c r="A130" s="38" t="str">
        <f t="shared" si="23"/>
        <v>Stage-Directions (Stdir)</v>
      </c>
      <c r="C130" s="7" t="s">
        <v>391</v>
      </c>
      <c r="D130" s="7" t="s">
        <v>629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674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>
      <c r="A131" s="38" t="str">
        <f t="shared" si="23"/>
        <v>TOC-Frontmatter (Tocfm)</v>
      </c>
      <c r="C131" s="7" t="s">
        <v>392</v>
      </c>
      <c r="D131" s="7" t="s">
        <v>630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671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>
      <c r="A132" s="38" t="str">
        <f t="shared" si="23"/>
        <v>TOC-Part (Tocpt)</v>
      </c>
      <c r="C132" s="7" t="s">
        <v>393</v>
      </c>
      <c r="D132" s="7" t="s">
        <v>631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671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>
      <c r="A133" s="38" t="str">
        <f t="shared" si="23"/>
        <v>TOC-Chapter (Tocch)</v>
      </c>
      <c r="C133" s="7" t="s">
        <v>394</v>
      </c>
      <c r="D133" s="7" t="s">
        <v>632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671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>
      <c r="A134" s="38" t="str">
        <f t="shared" si="23"/>
        <v>TOC-Subhead (Tocsub)</v>
      </c>
      <c r="C134" s="7" t="s">
        <v>395</v>
      </c>
      <c r="D134" s="7" t="s">
        <v>638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671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>
      <c r="A135" s="38" t="str">
        <f t="shared" si="23"/>
        <v>TOC-Backmatter (Tocbm)</v>
      </c>
      <c r="C135" s="7" t="s">
        <v>396</v>
      </c>
      <c r="D135" s="7" t="s">
        <v>633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671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>
      <c r="A136" s="38" t="str">
        <f t="shared" si="23"/>
        <v>Blank-Space-Break (Bsbrk)</v>
      </c>
      <c r="C136" s="7" t="s">
        <v>513</v>
      </c>
      <c r="D136" s="7" t="s">
        <v>514</v>
      </c>
      <c r="E136" s="7" t="s">
        <v>432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675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>
      <c r="A137" s="38" t="str">
        <f t="shared" si="23"/>
        <v>Ornamental-Space-Break (Osbrk)</v>
      </c>
      <c r="C137" s="7" t="s">
        <v>515</v>
      </c>
      <c r="D137" s="7" t="s">
        <v>516</v>
      </c>
      <c r="E137" s="7" t="s">
        <v>432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675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>
      <c r="A138" s="38" t="str">
        <f t="shared" si="23"/>
        <v>Separator (Sep)</v>
      </c>
      <c r="C138" s="7" t="s">
        <v>517</v>
      </c>
      <c r="D138" s="7" t="s">
        <v>518</v>
      </c>
      <c r="E138" s="7" t="s">
        <v>432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675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>
      <c r="A139" s="38" t="str">
        <f t="shared" si="23"/>
        <v>Design-Note (Dn)</v>
      </c>
      <c r="C139" s="7" t="s">
        <v>397</v>
      </c>
      <c r="D139" s="7" t="s">
        <v>398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>
      <c r="A140" s="38" t="str">
        <f t="shared" si="23"/>
        <v>Bookmaker-Processing-Instruction (Bpi)</v>
      </c>
      <c r="C140" s="7" t="s">
        <v>399</v>
      </c>
      <c r="D140" s="7" t="s">
        <v>400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>
      <c r="A141" s="38" t="str">
        <f t="shared" si="23"/>
        <v>Ebook-Only-Text (Eonly)</v>
      </c>
      <c r="C141" s="7" t="s">
        <v>519</v>
      </c>
      <c r="D141" s="7" t="s">
        <v>520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60" t="s">
        <v>676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672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>
      <c r="A142" s="38" t="str">
        <f t="shared" si="23"/>
        <v>EXTRACT-A (EXT-A)</v>
      </c>
      <c r="C142" s="7" t="s">
        <v>401</v>
      </c>
      <c r="D142" s="7" t="s">
        <v>402</v>
      </c>
      <c r="E142" s="7" t="s">
        <v>432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686</v>
      </c>
      <c r="AN142" s="5">
        <v>1</v>
      </c>
      <c r="AO142" s="5">
        <v>12</v>
      </c>
      <c r="AP142" s="5" t="b">
        <v>1</v>
      </c>
      <c r="AQ142" s="47" t="s">
        <v>686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686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687</v>
      </c>
      <c r="BJ142" s="37"/>
      <c r="BK142" s="5" t="s">
        <v>0</v>
      </c>
      <c r="BL142" s="7">
        <v>0</v>
      </c>
      <c r="BM142" s="5" t="b">
        <v>0</v>
      </c>
      <c r="BX142" s="7" t="s">
        <v>725</v>
      </c>
      <c r="CS142" s="31" t="str">
        <f t="shared" si="19"/>
        <v>.EXTRACT-AEXT-A</v>
      </c>
    </row>
    <row r="143" spans="1:97">
      <c r="A143" s="38" t="str">
        <f t="shared" si="23"/>
        <v>EXTRACT-B (EXT-B)</v>
      </c>
      <c r="C143" s="7" t="s">
        <v>523</v>
      </c>
      <c r="D143" s="7" t="s">
        <v>526</v>
      </c>
      <c r="E143" s="7" t="s">
        <v>432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686</v>
      </c>
      <c r="AN143" s="5">
        <v>1</v>
      </c>
      <c r="AO143" s="5">
        <v>12</v>
      </c>
      <c r="AP143" s="5" t="b">
        <v>1</v>
      </c>
      <c r="AQ143" s="47" t="s">
        <v>686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686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687</v>
      </c>
      <c r="BJ143" s="37"/>
      <c r="BK143" s="5" t="s">
        <v>0</v>
      </c>
      <c r="BL143" s="7">
        <v>0</v>
      </c>
      <c r="BM143" s="5" t="b">
        <v>0</v>
      </c>
      <c r="BX143" s="7" t="s">
        <v>725</v>
      </c>
      <c r="CS143" s="31" t="str">
        <f t="shared" ref="CS143:CS152" si="37">"."&amp;SUBSTITUTE(SUBSTITUTE(SUBSTITUTE(SUBSTITUTE(A143, "(",""),")","")," ",""),"#","")</f>
        <v>.EXTRACT-BEXT-B</v>
      </c>
    </row>
    <row r="144" spans="1:97">
      <c r="A144" s="38" t="str">
        <f t="shared" si="23"/>
        <v>EXTRACT-C (EXT-C)</v>
      </c>
      <c r="C144" s="7" t="s">
        <v>522</v>
      </c>
      <c r="D144" s="7" t="s">
        <v>525</v>
      </c>
      <c r="E144" s="7" t="s">
        <v>432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686</v>
      </c>
      <c r="AN144" s="5">
        <v>1</v>
      </c>
      <c r="AO144" s="5">
        <v>12</v>
      </c>
      <c r="AP144" s="5" t="b">
        <v>1</v>
      </c>
      <c r="AQ144" s="47" t="s">
        <v>686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686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687</v>
      </c>
      <c r="BJ144" s="37"/>
      <c r="BK144" s="5" t="s">
        <v>0</v>
      </c>
      <c r="BL144" s="7">
        <v>0</v>
      </c>
      <c r="BM144" s="5" t="b">
        <v>0</v>
      </c>
      <c r="BX144" s="7" t="s">
        <v>725</v>
      </c>
      <c r="CS144" s="31" t="str">
        <f t="shared" si="37"/>
        <v>.EXTRACT-CEXT-C</v>
      </c>
    </row>
    <row r="145" spans="1:97">
      <c r="A145" s="38" t="str">
        <f t="shared" si="23"/>
        <v>EXTRACT-D (EXT-D)</v>
      </c>
      <c r="C145" s="7" t="s">
        <v>521</v>
      </c>
      <c r="D145" s="7" t="s">
        <v>524</v>
      </c>
      <c r="E145" s="7" t="s">
        <v>432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686</v>
      </c>
      <c r="AN145" s="5">
        <v>1</v>
      </c>
      <c r="AO145" s="5">
        <v>12</v>
      </c>
      <c r="AP145" s="5" t="b">
        <v>1</v>
      </c>
      <c r="AQ145" s="47" t="s">
        <v>686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686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687</v>
      </c>
      <c r="BJ145" s="37"/>
      <c r="BK145" s="5" t="s">
        <v>0</v>
      </c>
      <c r="BL145" s="7">
        <v>0</v>
      </c>
      <c r="BM145" s="5" t="b">
        <v>0</v>
      </c>
      <c r="BX145" s="7" t="s">
        <v>725</v>
      </c>
      <c r="CS145" s="31" t="str">
        <f t="shared" si="37"/>
        <v>.EXTRACT-DEXT-D</v>
      </c>
    </row>
    <row r="146" spans="1:97">
      <c r="A146" s="38" t="str">
        <f t="shared" si="23"/>
        <v>VERSE-A (VRS-A)</v>
      </c>
      <c r="C146" s="7" t="s">
        <v>549</v>
      </c>
      <c r="D146" s="7" t="s">
        <v>550</v>
      </c>
      <c r="E146" s="7" t="s">
        <v>432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686</v>
      </c>
      <c r="AN146" s="5">
        <v>1</v>
      </c>
      <c r="AO146" s="5">
        <v>12</v>
      </c>
      <c r="AP146" s="5" t="b">
        <v>1</v>
      </c>
      <c r="AQ146" s="47" t="s">
        <v>686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686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687</v>
      </c>
      <c r="BJ146" s="37"/>
      <c r="BK146" s="5" t="s">
        <v>0</v>
      </c>
      <c r="BL146" s="7">
        <v>0</v>
      </c>
      <c r="BM146" s="5" t="b">
        <v>0</v>
      </c>
      <c r="BX146" s="7" t="s">
        <v>726</v>
      </c>
      <c r="CS146" s="31" t="str">
        <f t="shared" ref="CS146:CS147" si="38">"."&amp;SUBSTITUTE(SUBSTITUTE(SUBSTITUTE(SUBSTITUTE(A146, "(",""),")","")," ",""),"#","")</f>
        <v>.VERSE-AVRS-A</v>
      </c>
    </row>
    <row r="147" spans="1:97">
      <c r="A147" s="38" t="str">
        <f t="shared" si="23"/>
        <v>VERSE-B (VRS-B)</v>
      </c>
      <c r="C147" s="7" t="s">
        <v>551</v>
      </c>
      <c r="D147" s="7" t="s">
        <v>552</v>
      </c>
      <c r="E147" s="7" t="s">
        <v>432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686</v>
      </c>
      <c r="AN147" s="5">
        <v>1</v>
      </c>
      <c r="AO147" s="5">
        <v>12</v>
      </c>
      <c r="AP147" s="5" t="b">
        <v>1</v>
      </c>
      <c r="AQ147" s="47" t="s">
        <v>686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686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687</v>
      </c>
      <c r="BJ147" s="37"/>
      <c r="BK147" s="5" t="s">
        <v>0</v>
      </c>
      <c r="BL147" s="7">
        <v>0</v>
      </c>
      <c r="BM147" s="5" t="b">
        <v>0</v>
      </c>
      <c r="BX147" s="7" t="s">
        <v>726</v>
      </c>
      <c r="CS147" s="31" t="str">
        <f t="shared" si="38"/>
        <v>.VERSE-BVRS-B</v>
      </c>
    </row>
    <row r="148" spans="1:97">
      <c r="A148" s="38" t="str">
        <f t="shared" si="23"/>
        <v>BOX-A (BOX-A)</v>
      </c>
      <c r="C148" s="7" t="s">
        <v>527</v>
      </c>
      <c r="D148" s="7" t="s">
        <v>527</v>
      </c>
      <c r="E148" s="7" t="s">
        <v>432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686</v>
      </c>
      <c r="AN148" s="5">
        <v>1</v>
      </c>
      <c r="AO148" s="5">
        <v>12</v>
      </c>
      <c r="AP148" s="5" t="b">
        <v>1</v>
      </c>
      <c r="AQ148" s="47" t="s">
        <v>686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686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687</v>
      </c>
      <c r="BJ148" s="37"/>
      <c r="BK148" s="5" t="s">
        <v>0</v>
      </c>
      <c r="BL148" s="7">
        <v>0</v>
      </c>
      <c r="BM148" s="5" t="b">
        <v>0</v>
      </c>
      <c r="BX148" s="7" t="s">
        <v>727</v>
      </c>
      <c r="CS148" s="31" t="str">
        <f t="shared" si="37"/>
        <v>.BOX-ABOX-A</v>
      </c>
    </row>
    <row r="149" spans="1:97">
      <c r="A149" s="38" t="str">
        <f t="shared" si="23"/>
        <v>BOX-B (BOX-B)</v>
      </c>
      <c r="C149" s="7" t="s">
        <v>528</v>
      </c>
      <c r="D149" s="7" t="s">
        <v>528</v>
      </c>
      <c r="E149" s="7" t="s">
        <v>432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686</v>
      </c>
      <c r="AN149" s="5">
        <v>1</v>
      </c>
      <c r="AO149" s="5">
        <v>12</v>
      </c>
      <c r="AP149" s="5" t="b">
        <v>1</v>
      </c>
      <c r="AQ149" s="47" t="s">
        <v>686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686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687</v>
      </c>
      <c r="BJ149" s="37"/>
      <c r="BK149" s="5" t="s">
        <v>0</v>
      </c>
      <c r="BL149" s="7">
        <v>0</v>
      </c>
      <c r="BM149" s="5" t="b">
        <v>0</v>
      </c>
      <c r="BX149" s="7" t="s">
        <v>727</v>
      </c>
      <c r="CS149" s="31" t="str">
        <f t="shared" si="37"/>
        <v>.BOX-BBOX-B</v>
      </c>
    </row>
    <row r="150" spans="1:97">
      <c r="A150" s="38" t="str">
        <f t="shared" si="23"/>
        <v>LETTER-A (LTR-A)</v>
      </c>
      <c r="C150" s="7" t="s">
        <v>529</v>
      </c>
      <c r="D150" s="7" t="s">
        <v>530</v>
      </c>
      <c r="E150" s="7" t="s">
        <v>432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686</v>
      </c>
      <c r="AN150" s="5">
        <v>1</v>
      </c>
      <c r="AO150" s="5">
        <v>12</v>
      </c>
      <c r="AP150" s="5" t="b">
        <v>1</v>
      </c>
      <c r="AQ150" s="47" t="s">
        <v>686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686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687</v>
      </c>
      <c r="BJ150" s="37"/>
      <c r="BK150" s="5" t="s">
        <v>0</v>
      </c>
      <c r="BL150" s="7">
        <v>0</v>
      </c>
      <c r="BM150" s="5" t="b">
        <v>0</v>
      </c>
      <c r="BX150" s="7" t="s">
        <v>728</v>
      </c>
      <c r="CS150" s="31" t="str">
        <f t="shared" si="37"/>
        <v>.LETTER-ALTR-A</v>
      </c>
    </row>
    <row r="151" spans="1:97">
      <c r="A151" s="38" t="str">
        <f t="shared" si="23"/>
        <v>LETTER-B (LTR-B)</v>
      </c>
      <c r="C151" s="7" t="s">
        <v>531</v>
      </c>
      <c r="D151" s="7" t="s">
        <v>532</v>
      </c>
      <c r="E151" s="7" t="s">
        <v>432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686</v>
      </c>
      <c r="AN151" s="5">
        <v>1</v>
      </c>
      <c r="AO151" s="5">
        <v>12</v>
      </c>
      <c r="AP151" s="5" t="b">
        <v>1</v>
      </c>
      <c r="AQ151" s="47" t="s">
        <v>686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686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687</v>
      </c>
      <c r="BJ151" s="37"/>
      <c r="BK151" s="5" t="s">
        <v>0</v>
      </c>
      <c r="BL151" s="7">
        <v>0</v>
      </c>
      <c r="BM151" s="5" t="b">
        <v>0</v>
      </c>
      <c r="BX151" s="7" t="s">
        <v>728</v>
      </c>
      <c r="CS151" s="31" t="str">
        <f t="shared" si="37"/>
        <v>.LETTER-BLTR-B</v>
      </c>
    </row>
    <row r="152" spans="1:97">
      <c r="A152" s="38" t="str">
        <f t="shared" si="23"/>
        <v>LETTER-C (LTR-C)</v>
      </c>
      <c r="C152" s="7" t="s">
        <v>533</v>
      </c>
      <c r="D152" s="7" t="s">
        <v>534</v>
      </c>
      <c r="E152" s="7" t="s">
        <v>432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686</v>
      </c>
      <c r="AN152" s="5">
        <v>1</v>
      </c>
      <c r="AO152" s="5">
        <v>12</v>
      </c>
      <c r="AP152" s="5" t="b">
        <v>1</v>
      </c>
      <c r="AQ152" s="47" t="s">
        <v>686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686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687</v>
      </c>
      <c r="BJ152" s="37"/>
      <c r="BK152" s="5" t="s">
        <v>0</v>
      </c>
      <c r="BL152" s="7">
        <v>0</v>
      </c>
      <c r="BM152" s="5" t="b">
        <v>0</v>
      </c>
      <c r="BX152" s="7" t="s">
        <v>728</v>
      </c>
      <c r="CS152" s="31" t="str">
        <f t="shared" si="37"/>
        <v>.LETTER-CLTR-C</v>
      </c>
    </row>
    <row r="153" spans="1:97">
      <c r="A153" s="38" t="str">
        <f t="shared" si="23"/>
        <v>LETTER-D (LTR-D)</v>
      </c>
      <c r="C153" s="7" t="s">
        <v>535</v>
      </c>
      <c r="D153" s="7" t="s">
        <v>536</v>
      </c>
      <c r="E153" s="7" t="s">
        <v>432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686</v>
      </c>
      <c r="AN153" s="5">
        <v>1</v>
      </c>
      <c r="AO153" s="5">
        <v>12</v>
      </c>
      <c r="AP153" s="5" t="b">
        <v>1</v>
      </c>
      <c r="AQ153" s="47" t="s">
        <v>686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686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687</v>
      </c>
      <c r="BJ153" s="37"/>
      <c r="BK153" s="5" t="s">
        <v>0</v>
      </c>
      <c r="BL153" s="7">
        <v>0</v>
      </c>
      <c r="BM153" s="5" t="b">
        <v>0</v>
      </c>
      <c r="BX153" s="7" t="s">
        <v>728</v>
      </c>
      <c r="CS153" s="31" t="str">
        <f t="shared" ref="CS153:CS155" si="39">"."&amp;SUBSTITUTE(SUBSTITUTE(SUBSTITUTE(SUBSTITUTE(A153, "(",""),")","")," ",""),"#","")</f>
        <v>.LETTER-DLTR-D</v>
      </c>
    </row>
    <row r="154" spans="1:97">
      <c r="A154" s="38" t="str">
        <f t="shared" si="23"/>
        <v>COMPUTER-A (COM-A)</v>
      </c>
      <c r="C154" s="7" t="s">
        <v>537</v>
      </c>
      <c r="D154" s="7" t="s">
        <v>538</v>
      </c>
      <c r="E154" s="7" t="s">
        <v>432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686</v>
      </c>
      <c r="AN154" s="5">
        <v>1</v>
      </c>
      <c r="AO154" s="5">
        <v>12</v>
      </c>
      <c r="AP154" s="5" t="b">
        <v>1</v>
      </c>
      <c r="AQ154" s="47" t="s">
        <v>686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686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687</v>
      </c>
      <c r="BJ154" s="37"/>
      <c r="BK154" s="5" t="s">
        <v>0</v>
      </c>
      <c r="BL154" s="7">
        <v>0</v>
      </c>
      <c r="BM154" s="5" t="b">
        <v>0</v>
      </c>
      <c r="BX154" s="7" t="s">
        <v>729</v>
      </c>
      <c r="CS154" s="31" t="str">
        <f t="shared" si="39"/>
        <v>.COMPUTER-ACOM-A</v>
      </c>
    </row>
    <row r="155" spans="1:97">
      <c r="A155" s="38" t="str">
        <f t="shared" si="23"/>
        <v>COMPUTER-B (COM-B)</v>
      </c>
      <c r="C155" s="7" t="s">
        <v>539</v>
      </c>
      <c r="D155" s="7" t="s">
        <v>540</v>
      </c>
      <c r="E155" s="7" t="s">
        <v>432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686</v>
      </c>
      <c r="AN155" s="5">
        <v>1</v>
      </c>
      <c r="AO155" s="5">
        <v>12</v>
      </c>
      <c r="AP155" s="5" t="b">
        <v>1</v>
      </c>
      <c r="AQ155" s="47" t="s">
        <v>686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686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687</v>
      </c>
      <c r="BJ155" s="37"/>
      <c r="BK155" s="5" t="s">
        <v>0</v>
      </c>
      <c r="BL155" s="7">
        <v>0</v>
      </c>
      <c r="BM155" s="5" t="b">
        <v>0</v>
      </c>
      <c r="BX155" s="7" t="s">
        <v>729</v>
      </c>
      <c r="CS155" s="31" t="str">
        <f t="shared" si="39"/>
        <v>.COMPUTER-BCOM-B</v>
      </c>
    </row>
    <row r="156" spans="1:97">
      <c r="A156" s="38" t="str">
        <f t="shared" si="23"/>
        <v>SIDEBAR-A (SIDE-A)</v>
      </c>
      <c r="C156" s="7" t="s">
        <v>541</v>
      </c>
      <c r="D156" s="7" t="s">
        <v>543</v>
      </c>
      <c r="E156" s="7" t="s">
        <v>432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686</v>
      </c>
      <c r="AN156" s="5">
        <v>1</v>
      </c>
      <c r="AO156" s="5">
        <v>12</v>
      </c>
      <c r="AP156" s="5" t="b">
        <v>1</v>
      </c>
      <c r="AQ156" s="47" t="s">
        <v>686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686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685</v>
      </c>
      <c r="BJ156" s="37"/>
      <c r="BK156" s="5" t="s">
        <v>0</v>
      </c>
      <c r="BL156" s="7">
        <v>0</v>
      </c>
      <c r="BM156" s="5" t="b">
        <v>0</v>
      </c>
      <c r="BX156" s="7" t="s">
        <v>730</v>
      </c>
      <c r="CS156" s="31" t="str">
        <f t="shared" ref="CS156:CS161" si="40">"."&amp;SUBSTITUTE(SUBSTITUTE(SUBSTITUTE(SUBSTITUTE(A156, "(",""),")","")," ",""),"#","")</f>
        <v>.SIDEBAR-ASIDE-A</v>
      </c>
    </row>
    <row r="157" spans="1:97">
      <c r="A157" s="38" t="str">
        <f t="shared" si="23"/>
        <v>SIDEBAR-B (SIDE-B)</v>
      </c>
      <c r="C157" s="7" t="s">
        <v>542</v>
      </c>
      <c r="D157" s="7" t="s">
        <v>544</v>
      </c>
      <c r="E157" s="7" t="s">
        <v>432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686</v>
      </c>
      <c r="AN157" s="5">
        <v>1</v>
      </c>
      <c r="AO157" s="5">
        <v>12</v>
      </c>
      <c r="AP157" s="5" t="b">
        <v>1</v>
      </c>
      <c r="AQ157" s="47" t="s">
        <v>686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686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685</v>
      </c>
      <c r="BJ157" s="37"/>
      <c r="BK157" s="5" t="s">
        <v>0</v>
      </c>
      <c r="BL157" s="7">
        <v>0</v>
      </c>
      <c r="BM157" s="5" t="b">
        <v>0</v>
      </c>
      <c r="BX157" s="7" t="s">
        <v>730</v>
      </c>
      <c r="CS157" s="31" t="str">
        <f t="shared" si="40"/>
        <v>.SIDEBAR-BSIDE-B</v>
      </c>
    </row>
    <row r="158" spans="1:97">
      <c r="A158" s="38" t="str">
        <f t="shared" si="23"/>
        <v>PULL-QUOTE (PQ)</v>
      </c>
      <c r="C158" s="7" t="s">
        <v>403</v>
      </c>
      <c r="D158" s="7" t="s">
        <v>404</v>
      </c>
      <c r="E158" s="7" t="s">
        <v>432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686</v>
      </c>
      <c r="AN158" s="5">
        <v>1</v>
      </c>
      <c r="AO158" s="5">
        <v>12</v>
      </c>
      <c r="AP158" s="5" t="b">
        <v>1</v>
      </c>
      <c r="AQ158" s="47" t="s">
        <v>686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686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685</v>
      </c>
      <c r="BJ158" s="37"/>
      <c r="BK158" s="5" t="s">
        <v>0</v>
      </c>
      <c r="BL158" s="7">
        <v>0</v>
      </c>
      <c r="BM158" s="5" t="b">
        <v>0</v>
      </c>
      <c r="BX158" s="7" t="s">
        <v>731</v>
      </c>
      <c r="CS158" s="31" t="str">
        <f t="shared" si="40"/>
        <v>.PULL-QUOTEPQ</v>
      </c>
    </row>
    <row r="159" spans="1:97">
      <c r="A159" s="38" t="str">
        <f t="shared" si="23"/>
        <v>IMAGE (IMG)</v>
      </c>
      <c r="C159" s="7" t="s">
        <v>545</v>
      </c>
      <c r="D159" s="7" t="s">
        <v>546</v>
      </c>
      <c r="E159" s="7" t="s">
        <v>432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686</v>
      </c>
      <c r="AN159" s="5">
        <v>1</v>
      </c>
      <c r="AO159" s="5">
        <v>12</v>
      </c>
      <c r="AP159" s="5" t="b">
        <v>1</v>
      </c>
      <c r="AQ159" s="47" t="s">
        <v>686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686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685</v>
      </c>
      <c r="BJ159" s="37"/>
      <c r="BK159" s="5" t="s">
        <v>0</v>
      </c>
      <c r="BL159" s="7">
        <v>0</v>
      </c>
      <c r="BM159" s="5" t="b">
        <v>0</v>
      </c>
      <c r="BX159" s="7" t="s">
        <v>732</v>
      </c>
      <c r="CS159" s="31" t="str">
        <f t="shared" si="40"/>
        <v>.IMAGEIMG</v>
      </c>
    </row>
    <row r="160" spans="1:97">
      <c r="A160" s="38" t="str">
        <f>IF($D160="","",TRIM($C160)&amp;" "&amp;CHAR(40)&amp;TRIM($D160)&amp;CHAR(41))</f>
        <v>TABLE (TBL)</v>
      </c>
      <c r="C160" s="7" t="s">
        <v>547</v>
      </c>
      <c r="D160" s="7" t="s">
        <v>548</v>
      </c>
      <c r="E160" s="7" t="s">
        <v>432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686</v>
      </c>
      <c r="AN160" s="5">
        <v>1</v>
      </c>
      <c r="AO160" s="5">
        <v>12</v>
      </c>
      <c r="AP160" s="5" t="b">
        <v>1</v>
      </c>
      <c r="AQ160" s="47" t="s">
        <v>686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686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685</v>
      </c>
      <c r="BJ160" s="37"/>
      <c r="BK160" s="5" t="s">
        <v>0</v>
      </c>
      <c r="BL160" s="7">
        <v>0</v>
      </c>
      <c r="BM160" s="5" t="b">
        <v>0</v>
      </c>
      <c r="BX160" s="7" t="s">
        <v>733</v>
      </c>
      <c r="CS160" s="31" t="str">
        <f>"."&amp;SUBSTITUTE(SUBSTITUTE(SUBSTITUTE(SUBSTITUTE(A160, "(",""),")","")," ",""),"#","")</f>
        <v>.TABLETBL</v>
      </c>
    </row>
    <row r="161" spans="1:97">
      <c r="A161" s="38" t="str">
        <f t="shared" si="23"/>
        <v>RECIPE (REC)</v>
      </c>
      <c r="C161" s="7" t="s">
        <v>585</v>
      </c>
      <c r="D161" s="7" t="s">
        <v>586</v>
      </c>
      <c r="E161" s="7" t="s">
        <v>432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686</v>
      </c>
      <c r="AN161" s="5">
        <v>1</v>
      </c>
      <c r="AO161" s="5">
        <v>12</v>
      </c>
      <c r="AP161" s="5" t="b">
        <v>1</v>
      </c>
      <c r="AQ161" s="47" t="s">
        <v>686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686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687</v>
      </c>
      <c r="BJ161" s="37"/>
      <c r="BK161" s="5" t="s">
        <v>0</v>
      </c>
      <c r="BL161" s="7">
        <v>0</v>
      </c>
      <c r="BM161" s="5" t="b">
        <v>0</v>
      </c>
      <c r="BX161" s="7" t="s">
        <v>720</v>
      </c>
      <c r="CS161" s="31" t="str">
        <f t="shared" si="40"/>
        <v>.RECIPEREC</v>
      </c>
    </row>
    <row r="162" spans="1:97">
      <c r="A162" s="38" t="str">
        <f t="shared" si="23"/>
        <v>END (END)</v>
      </c>
      <c r="C162" s="7" t="s">
        <v>587</v>
      </c>
      <c r="D162" s="7" t="s">
        <v>587</v>
      </c>
      <c r="E162" s="7" t="s">
        <v>432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689</v>
      </c>
      <c r="AR162" s="5">
        <v>1</v>
      </c>
      <c r="AS162" s="5">
        <v>36</v>
      </c>
      <c r="AT162" s="46" t="b">
        <v>1</v>
      </c>
      <c r="AU162" s="25" t="s">
        <v>689</v>
      </c>
      <c r="AV162" s="5">
        <v>1</v>
      </c>
      <c r="AW162" s="5">
        <v>12</v>
      </c>
      <c r="AX162" s="5" t="b">
        <v>1</v>
      </c>
      <c r="AY162" s="25" t="s">
        <v>689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688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>
      <c r="A163" s="38" t="str">
        <f t="shared" si="23"/>
        <v>bold (b)</v>
      </c>
      <c r="C163" s="7" t="s">
        <v>405</v>
      </c>
      <c r="D163" s="7" t="s">
        <v>406</v>
      </c>
      <c r="E163" s="38" t="str">
        <f t="shared" ref="E163:E194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678</v>
      </c>
      <c r="BK163" s="5" t="s">
        <v>70</v>
      </c>
      <c r="BL163" s="5"/>
      <c r="BM163" s="5" t="b">
        <v>0</v>
      </c>
      <c r="CS163" s="31" t="str">
        <f t="shared" ref="CS163:CS192" si="43">"."&amp;SUBSTITUTE(SUBSTITUTE(SUBSTITUTE(SUBSTITUTE(A163, "(",""),")","")," ",""),"#","")</f>
        <v>.boldb</v>
      </c>
    </row>
    <row r="164" spans="1:97">
      <c r="A164" s="38" t="str">
        <f t="shared" si="23"/>
        <v>ital (i)</v>
      </c>
      <c r="C164" s="7" t="s">
        <v>218</v>
      </c>
      <c r="D164" s="7" t="s">
        <v>407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678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>
      <c r="A165" s="38" t="str">
        <f t="shared" si="23"/>
        <v>underline (u)</v>
      </c>
      <c r="C165" s="7" t="s">
        <v>408</v>
      </c>
      <c r="D165" s="7" t="s">
        <v>409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678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>
      <c r="A166" s="38" t="str">
        <f t="shared" si="23"/>
        <v>smallcaps (sc)</v>
      </c>
      <c r="C166" s="7" t="s">
        <v>410</v>
      </c>
      <c r="D166" s="7" t="s">
        <v>581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678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>
      <c r="A167" s="38" t="str">
        <f t="shared" si="23"/>
        <v>super (sup)</v>
      </c>
      <c r="C167" s="7" t="s">
        <v>411</v>
      </c>
      <c r="D167" s="7" t="s">
        <v>582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678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678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>
      <c r="A169" s="38" t="str">
        <f t="shared" si="23"/>
        <v>strike (str)</v>
      </c>
      <c r="C169" s="7" t="s">
        <v>412</v>
      </c>
      <c r="D169" s="7" t="s">
        <v>583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678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>
      <c r="A170" s="38" t="str">
        <f t="shared" si="23"/>
        <v>bold-ital (bi)</v>
      </c>
      <c r="C170" s="7" t="s">
        <v>714</v>
      </c>
      <c r="D170" s="7" t="s">
        <v>692</v>
      </c>
      <c r="E170" s="38" t="str">
        <f t="shared" si="42"/>
        <v>bold-ital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678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>
      <c r="A171" s="38" t="str">
        <f>IF($D171="","",TRIM($C171)&amp;" "&amp;CHAR(40)&amp;TRIM($D171)&amp;CHAR(41))</f>
        <v>smallcaps-ital (sci)</v>
      </c>
      <c r="C171" s="7" t="s">
        <v>697</v>
      </c>
      <c r="D171" s="7" t="s">
        <v>693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678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>
      <c r="A172" s="38" t="str">
        <f>IF($D172="","",TRIM($C172)&amp;" "&amp;CHAR(40)&amp;TRIM($D172)&amp;CHAR(41))</f>
        <v>smallcaps-bold (scb)</v>
      </c>
      <c r="C172" s="7" t="s">
        <v>695</v>
      </c>
      <c r="D172" s="7" t="s">
        <v>696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678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>
      <c r="A173" s="38" t="str">
        <f>IF($D173="","",TRIM($C173)&amp;" "&amp;CHAR(40)&amp;TRIM($D173)&amp;CHAR(41))</f>
        <v>smallcaps-bold-ital (scbi)</v>
      </c>
      <c r="C173" s="7" t="s">
        <v>698</v>
      </c>
      <c r="D173" s="7" t="s">
        <v>699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678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>
      <c r="A174" s="38" t="str">
        <f>IF($D174="","",TRIM($C174)&amp;" "&amp;CHAR(40)&amp;TRIM($D174)&amp;CHAR(41))</f>
        <v>super-ital (supi)</v>
      </c>
      <c r="C174" s="7" t="s">
        <v>703</v>
      </c>
      <c r="D174" s="7" t="s">
        <v>694</v>
      </c>
      <c r="E174" s="38" t="str">
        <f>IF($D174="","",TRIM($C174)&amp;" "&amp;CHAR(40)&amp;TRIM($D174)&amp;CHAR(41))</f>
        <v>super-ital (supi)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678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>
      <c r="A175" s="38" t="str">
        <f t="shared" si="23"/>
        <v>cstyle1 (cs1)</v>
      </c>
      <c r="C175" s="7" t="s">
        <v>553</v>
      </c>
      <c r="D175" s="7" t="s">
        <v>554</v>
      </c>
      <c r="E175" s="38" t="str">
        <f t="shared" si="42"/>
        <v>cstyle1 (cs1)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678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>
      <c r="A176" s="38" t="str">
        <f>IF($D176="","",TRIM($C176)&amp;" "&amp;CHAR(40)&amp;TRIM($D176)&amp;CHAR(41))</f>
        <v>cstyle2 (cs2)</v>
      </c>
      <c r="C176" s="7" t="s">
        <v>555</v>
      </c>
      <c r="D176" s="7" t="s">
        <v>556</v>
      </c>
      <c r="E176" s="38" t="str">
        <f t="shared" si="42"/>
        <v>cstyle2 (cs2)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678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>
      <c r="A177" s="38" t="str">
        <f t="shared" si="23"/>
        <v>cs-head (cshd)</v>
      </c>
      <c r="C177" s="7" t="s">
        <v>413</v>
      </c>
      <c r="D177" s="7" t="s">
        <v>684</v>
      </c>
      <c r="E177" s="38" t="str">
        <f t="shared" si="42"/>
        <v>cs-head (cshd)</v>
      </c>
      <c r="F177" s="5">
        <v>6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682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>
      <c r="A178" s="38" t="str">
        <f t="shared" si="23"/>
        <v>cs-speaker (csp)</v>
      </c>
      <c r="C178" s="7" t="s">
        <v>414</v>
      </c>
      <c r="D178" s="7" t="s">
        <v>415</v>
      </c>
      <c r="E178" s="38" t="str">
        <f t="shared" si="42"/>
        <v>cs-speaker (csp)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682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>
      <c r="A179" s="38" t="str">
        <f t="shared" si="23"/>
        <v>cs-text-message (ctm)</v>
      </c>
      <c r="C179" s="7" t="s">
        <v>416</v>
      </c>
      <c r="D179" s="7" t="s">
        <v>417</v>
      </c>
      <c r="E179" s="38" t="str">
        <f t="shared" si="42"/>
        <v>cs-text-message (ctm)</v>
      </c>
      <c r="F179" s="5">
        <v>6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682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>
      <c r="A180" s="38" t="str">
        <f t="shared" si="23"/>
        <v>cs-computer (ccom)</v>
      </c>
      <c r="C180" s="7" t="s">
        <v>568</v>
      </c>
      <c r="D180" s="7" t="s">
        <v>557</v>
      </c>
      <c r="E180" s="38" t="str">
        <f t="shared" si="42"/>
        <v>cs-computer (ccom)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682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>
      <c r="A181" s="38" t="str">
        <f t="shared" si="23"/>
        <v>cs-design-note (cdn)</v>
      </c>
      <c r="C181" s="7" t="s">
        <v>418</v>
      </c>
      <c r="D181" s="7" t="s">
        <v>419</v>
      </c>
      <c r="E181" s="38" t="str">
        <f t="shared" si="42"/>
        <v>cs-design-note (cdn)</v>
      </c>
      <c r="F181" s="5">
        <v>6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>
      <c r="A182" s="38" t="str">
        <f t="shared" si="23"/>
        <v>cs-image-placement (cimg)</v>
      </c>
      <c r="C182" s="7" t="s">
        <v>420</v>
      </c>
      <c r="D182" s="7" t="s">
        <v>584</v>
      </c>
      <c r="E182" s="38" t="str">
        <f t="shared" si="42"/>
        <v>cs-image-placement (cimg)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>
      <c r="A183" s="38" t="str">
        <f t="shared" si="23"/>
        <v>hyperlink (url)</v>
      </c>
      <c r="C183" s="7" t="s">
        <v>421</v>
      </c>
      <c r="D183" s="7" t="s">
        <v>217</v>
      </c>
      <c r="E183" s="38" t="str">
        <f t="shared" si="42"/>
        <v>hyperlink (url)</v>
      </c>
      <c r="F183" s="5">
        <v>6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57" t="s">
        <v>679</v>
      </c>
      <c r="BK183" s="5" t="s">
        <v>70</v>
      </c>
      <c r="BL183" s="5"/>
      <c r="BM183" s="5" t="b">
        <v>0</v>
      </c>
      <c r="CS183" s="31" t="str">
        <f t="shared" si="43"/>
        <v>.hyperlinkurl</v>
      </c>
    </row>
    <row r="184" spans="1:97">
      <c r="A184" s="38" t="str">
        <f t="shared" si="23"/>
        <v>symbols (sym)</v>
      </c>
      <c r="C184" s="7" t="s">
        <v>704</v>
      </c>
      <c r="D184" s="7" t="s">
        <v>705</v>
      </c>
      <c r="E184" s="38" t="str">
        <f t="shared" si="42"/>
        <v>symbols (sym)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6" t="s">
        <v>66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43" t="s">
        <v>680</v>
      </c>
      <c r="BK184" s="5" t="s">
        <v>70</v>
      </c>
      <c r="BL184" s="5"/>
      <c r="BM184" s="5" t="b">
        <v>0</v>
      </c>
      <c r="CS184" s="31" t="str">
        <f t="shared" si="43"/>
        <v>.symbolssym</v>
      </c>
    </row>
    <row r="185" spans="1:97">
      <c r="A185" s="38" t="str">
        <f>IF($D185="","",TRIM($C185)&amp;" "&amp;CHAR(40)&amp;TRIM($D185)&amp;CHAR(41))</f>
        <v>symbols-ital (symi)</v>
      </c>
      <c r="C185" s="7" t="s">
        <v>701</v>
      </c>
      <c r="D185" s="7" t="s">
        <v>702</v>
      </c>
      <c r="E185" s="38" t="str">
        <f>IF($D185="","",TRIM($C185)&amp;" "&amp;CHAR(40)&amp;TRIM($D185)&amp;CHAR(41))</f>
        <v>symbols-ital (symi)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7" t="b">
        <v>1</v>
      </c>
      <c r="L185" s="7" t="b">
        <v>0</v>
      </c>
      <c r="M185" s="6" t="s">
        <v>66</v>
      </c>
      <c r="N185" s="5" t="b">
        <v>0</v>
      </c>
      <c r="O185" s="7" t="b">
        <v>0</v>
      </c>
      <c r="P185" s="7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BG185" s="6" t="s">
        <v>66</v>
      </c>
      <c r="BH185" s="5">
        <v>0</v>
      </c>
      <c r="BI185" s="5">
        <v>0</v>
      </c>
      <c r="BJ185" s="43" t="s">
        <v>680</v>
      </c>
      <c r="BK185" s="5" t="s">
        <v>70</v>
      </c>
      <c r="BM185" s="5" t="b">
        <v>0</v>
      </c>
      <c r="CS185" s="31" t="str">
        <f>"."&amp;SUBSTITUTE(SUBSTITUTE(SUBSTITUTE(SUBSTITUTE(A185, "(",""),")","")," ",""),"#","")</f>
        <v>.symbols-italsymi</v>
      </c>
    </row>
    <row r="186" spans="1:97">
      <c r="A186" s="38" t="str">
        <f t="shared" si="23"/>
        <v>cross-reference (xref)</v>
      </c>
      <c r="C186" s="7" t="s">
        <v>422</v>
      </c>
      <c r="D186" s="7" t="s">
        <v>216</v>
      </c>
      <c r="E186" s="38" t="str">
        <f t="shared" si="42"/>
        <v>cross-reference (xref)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57" t="s">
        <v>679</v>
      </c>
      <c r="BK186" s="5" t="s">
        <v>70</v>
      </c>
      <c r="BL186" s="5"/>
      <c r="BM186" s="5" t="b">
        <v>0</v>
      </c>
      <c r="CS186" s="31" t="str">
        <f t="shared" si="43"/>
        <v>.cross-referencexref</v>
      </c>
    </row>
    <row r="187" spans="1:97">
      <c r="A187" s="38" t="str">
        <f>IF($D187="","",TRIM($C187)&amp;" "&amp;CHAR(40)&amp;TRIM($D187)&amp;CHAR(41))</f>
        <v>redacted-text (red)</v>
      </c>
      <c r="C187" s="7" t="s">
        <v>558</v>
      </c>
      <c r="D187" s="7" t="s">
        <v>559</v>
      </c>
      <c r="E187" s="38" t="s">
        <v>560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1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45" t="s">
        <v>682</v>
      </c>
      <c r="BK187" s="5" t="s">
        <v>70</v>
      </c>
      <c r="BL187" s="5"/>
      <c r="BM187" s="5" t="b">
        <v>0</v>
      </c>
      <c r="CS187" s="31" t="str">
        <f t="shared" ref="CS187:CS188" si="47">"."&amp;SUBSTITUTE(SUBSTITUTE(SUBSTITUTE(SUBSTITUTE(A187, "(",""),")","")," ",""),"#","")</f>
        <v>.redacted-textred</v>
      </c>
    </row>
    <row r="188" spans="1:97">
      <c r="A188" s="38" t="str">
        <f>IF($D188="","",TRIM($C188)&amp;" "&amp;CHAR(40)&amp;TRIM($D188)&amp;CHAR(41))</f>
        <v>keyphrase (kp)</v>
      </c>
      <c r="C188" s="7" t="s">
        <v>561</v>
      </c>
      <c r="D188" s="7" t="s">
        <v>562</v>
      </c>
      <c r="E188" s="38" t="s">
        <v>563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57" t="s">
        <v>679</v>
      </c>
      <c r="BK188" s="5" t="s">
        <v>70</v>
      </c>
      <c r="BL188" s="5"/>
      <c r="BM188" s="5" t="b">
        <v>0</v>
      </c>
      <c r="CS188" s="31" t="str">
        <f t="shared" si="47"/>
        <v>.keyphrasekp</v>
      </c>
    </row>
    <row r="189" spans="1:97">
      <c r="A189" s="38" t="str">
        <f t="shared" si="23"/>
        <v>cs-cleanup-exclude (cex)</v>
      </c>
      <c r="C189" s="7" t="s">
        <v>423</v>
      </c>
      <c r="D189" s="7" t="s">
        <v>424</v>
      </c>
      <c r="E189" s="38" t="str">
        <f t="shared" si="42"/>
        <v>cs-cleanup-exclude (cex)</v>
      </c>
      <c r="F189" s="5">
        <v>6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43" t="s">
        <v>680</v>
      </c>
      <c r="BK189" s="5" t="s">
        <v>70</v>
      </c>
      <c r="BL189" s="5"/>
      <c r="BM189" s="5" t="b">
        <v>0</v>
      </c>
      <c r="CS189" s="31" t="str">
        <f t="shared" si="43"/>
        <v>.cs-cleanup-excludecex</v>
      </c>
    </row>
    <row r="190" spans="1:97">
      <c r="A190" s="38" t="str">
        <f t="shared" si="23"/>
        <v>bookmaker-keep-together (bkt)</v>
      </c>
      <c r="C190" s="7" t="s">
        <v>425</v>
      </c>
      <c r="D190" s="7" t="s">
        <v>215</v>
      </c>
      <c r="E190" s="38" t="str">
        <f t="shared" si="42"/>
        <v>bookmaker-keep-together (bkt)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681</v>
      </c>
      <c r="BK190" s="5" t="s">
        <v>70</v>
      </c>
      <c r="BL190" s="5"/>
      <c r="BM190" s="5" t="b">
        <v>0</v>
      </c>
      <c r="CS190" s="24" t="str">
        <f t="shared" si="43"/>
        <v>.bookmaker-keep-togetherbkt</v>
      </c>
    </row>
    <row r="191" spans="1:97">
      <c r="A191" s="38" t="str">
        <f t="shared" si="23"/>
        <v>bookmaker-loosen (bln)</v>
      </c>
      <c r="C191" s="7" t="s">
        <v>428</v>
      </c>
      <c r="D191" s="7" t="s">
        <v>429</v>
      </c>
      <c r="E191" s="38" t="str">
        <f t="shared" si="42"/>
        <v>bookmaker-loosen (bln)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681</v>
      </c>
      <c r="BK191" s="5" t="s">
        <v>70</v>
      </c>
      <c r="BL191" s="5"/>
      <c r="BM191" s="5" t="b">
        <v>0</v>
      </c>
      <c r="CS191" s="24" t="str">
        <f t="shared" si="43"/>
        <v>.bookmaker-loosenbln</v>
      </c>
    </row>
    <row r="192" spans="1:97">
      <c r="A192" s="38" t="str">
        <f t="shared" si="23"/>
        <v>bookmaker-tighten (bti)</v>
      </c>
      <c r="C192" s="26" t="s">
        <v>426</v>
      </c>
      <c r="D192" s="36" t="s">
        <v>427</v>
      </c>
      <c r="E192" s="38" t="str">
        <f t="shared" si="42"/>
        <v>bookmaker-tighten (bti)</v>
      </c>
      <c r="F192" s="5">
        <v>6</v>
      </c>
      <c r="G192" s="5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J192" s="5"/>
      <c r="AK192" s="5"/>
      <c r="AL192" s="5"/>
      <c r="AM192" s="6"/>
      <c r="AN192" s="5"/>
      <c r="AO192" s="5"/>
      <c r="AP192" s="5"/>
      <c r="AQ192" s="6"/>
      <c r="AR192" s="5"/>
      <c r="AS192" s="5"/>
      <c r="AT192" s="5"/>
      <c r="AU192" s="6"/>
      <c r="AV192" s="5"/>
      <c r="AW192" s="5"/>
      <c r="AX192" s="5"/>
      <c r="AY192" s="6"/>
      <c r="AZ192" s="5"/>
      <c r="BA192" s="5"/>
      <c r="BB192" s="5"/>
      <c r="BC192" s="5"/>
      <c r="BD192" s="5"/>
      <c r="BE192" s="5"/>
      <c r="BF192" s="6"/>
      <c r="BG192" s="6" t="s">
        <v>66</v>
      </c>
      <c r="BH192" s="5">
        <v>0</v>
      </c>
      <c r="BI192" s="5">
        <v>0</v>
      </c>
      <c r="BJ192" s="44" t="s">
        <v>681</v>
      </c>
      <c r="BK192" s="5" t="s">
        <v>70</v>
      </c>
      <c r="BL192" s="5"/>
      <c r="BM192" s="5" t="b">
        <v>0</v>
      </c>
      <c r="CS192" s="24" t="str">
        <f t="shared" si="43"/>
        <v>.bookmaker-tightenbti</v>
      </c>
    </row>
    <row r="193" spans="1:97">
      <c r="A193" s="38" t="str">
        <f t="shared" si="23"/>
        <v>cs-isbn (isbn)</v>
      </c>
      <c r="C193" s="7" t="s">
        <v>754</v>
      </c>
      <c r="D193" s="7" t="s">
        <v>753</v>
      </c>
      <c r="E193" s="38" t="str">
        <f t="shared" si="42"/>
        <v>cs-isbn (isbn)</v>
      </c>
      <c r="F193" s="5">
        <v>6</v>
      </c>
      <c r="G193" s="7" t="b">
        <v>0</v>
      </c>
      <c r="H193" s="5">
        <v>2</v>
      </c>
      <c r="I193" s="5" t="s">
        <v>67</v>
      </c>
      <c r="J193" s="7">
        <v>12</v>
      </c>
      <c r="K193" s="5" t="b">
        <v>0</v>
      </c>
      <c r="L193" s="5" t="b">
        <v>0</v>
      </c>
      <c r="M193" s="6" t="s">
        <v>66</v>
      </c>
      <c r="N193" s="5" t="b">
        <v>0</v>
      </c>
      <c r="O193" s="5" t="b">
        <v>0</v>
      </c>
      <c r="P193" s="5" t="b">
        <v>0</v>
      </c>
      <c r="Q193" s="5" t="b">
        <v>0</v>
      </c>
      <c r="R193" s="5" t="b">
        <v>0</v>
      </c>
      <c r="S193" s="5" t="b">
        <v>0</v>
      </c>
      <c r="T193" s="5" t="b">
        <v>0</v>
      </c>
      <c r="U193" s="5" t="b">
        <v>0</v>
      </c>
      <c r="V193" s="5" t="b">
        <v>0</v>
      </c>
      <c r="X193" s="5"/>
      <c r="Y193" s="5"/>
      <c r="Z193" s="5"/>
      <c r="BG193" s="6" t="s">
        <v>66</v>
      </c>
      <c r="BH193" s="5">
        <v>0</v>
      </c>
      <c r="BI193" s="5">
        <v>0</v>
      </c>
      <c r="BJ193" s="43" t="s">
        <v>680</v>
      </c>
      <c r="BK193" s="5" t="s">
        <v>70</v>
      </c>
      <c r="BL193" s="5"/>
      <c r="BM193" s="5" t="b">
        <v>0</v>
      </c>
      <c r="CS193" s="31" t="str">
        <f t="shared" ref="CS193" si="48">"."&amp;SUBSTITUTE(SUBSTITUTE(SUBSTITUTE(SUBSTITUTE(A193, "(",""),")","")," ",""),"#","")</f>
        <v>.cs-isbnisbn</v>
      </c>
    </row>
    <row r="194" spans="1:97">
      <c r="A194" s="23" t="str">
        <f t="shared" ref="A194:A196" si="49">IF($D194="","",TRIM($C194)&amp;" "&amp;CHAR(40)&amp;TRIM($D194)&amp;CHAR(41))</f>
        <v/>
      </c>
      <c r="CS194" s="24" t="str">
        <f t="shared" ref="CS194:CS196" si="50">SUBSTITUTE(SUBSTITUTE(SUBSTITUTE(SUBSTITUTE(A194, "(",""),")","")," ",""),"#","")</f>
        <v/>
      </c>
    </row>
    <row r="195" spans="1:97">
      <c r="A195" s="23" t="str">
        <f t="shared" si="49"/>
        <v/>
      </c>
      <c r="CS195" s="24" t="str">
        <f t="shared" si="50"/>
        <v/>
      </c>
    </row>
    <row r="196" spans="1:97">
      <c r="A196" s="23" t="str">
        <f t="shared" si="49"/>
        <v/>
      </c>
      <c r="CS196" s="24" t="str">
        <f t="shared" si="50"/>
        <v/>
      </c>
    </row>
    <row r="197" spans="1:97">
      <c r="A197" s="23" t="str">
        <f>IF($D197="","",TRIM($D192)&amp;" "&amp;CHAR(40)&amp;TRIM($D197)&amp;CHAR(41))</f>
        <v/>
      </c>
      <c r="CS197" s="24" t="str">
        <f t="shared" ref="CS197:CS201" si="51">SUBSTITUTE(SUBSTITUTE(SUBSTITUTE(SUBSTITUTE(A197, "(",""),")","")," ",""),"#","")</f>
        <v/>
      </c>
    </row>
    <row r="198" spans="1:97">
      <c r="A198" s="23" t="str">
        <f t="shared" ref="A198:A201" si="52">IF($D198="","",TRIM($C198)&amp;" "&amp;CHAR(40)&amp;TRIM($D198)&amp;CHAR(41))</f>
        <v/>
      </c>
      <c r="CS198" s="24" t="str">
        <f t="shared" si="51"/>
        <v/>
      </c>
    </row>
    <row r="199" spans="1:97">
      <c r="A199" s="23" t="str">
        <f t="shared" si="52"/>
        <v/>
      </c>
      <c r="CS199" s="24" t="str">
        <f t="shared" si="51"/>
        <v/>
      </c>
    </row>
    <row r="200" spans="1:97">
      <c r="A200" s="23" t="str">
        <f t="shared" si="52"/>
        <v/>
      </c>
      <c r="CS200" s="24" t="str">
        <f t="shared" si="51"/>
        <v/>
      </c>
    </row>
    <row r="201" spans="1:97">
      <c r="A201" s="23" t="str">
        <f t="shared" si="52"/>
        <v/>
      </c>
      <c r="CS201" s="24" t="str">
        <f t="shared" si="51"/>
        <v/>
      </c>
    </row>
    <row r="202" spans="1:97">
      <c r="A202" s="23"/>
      <c r="CS202" s="24"/>
    </row>
    <row r="203" spans="1:97">
      <c r="A203" s="23"/>
      <c r="CS203" s="24"/>
    </row>
    <row r="204" spans="1:97">
      <c r="A204" s="23"/>
      <c r="CS204" s="24"/>
    </row>
    <row r="205" spans="1:97">
      <c r="A205" s="23"/>
      <c r="CS205" s="24"/>
    </row>
    <row r="206" spans="1:97">
      <c r="A206" s="23"/>
      <c r="CS206" s="24"/>
    </row>
    <row r="207" spans="1:97">
      <c r="A207" s="23"/>
      <c r="CS207" s="24"/>
    </row>
    <row r="208" spans="1:97">
      <c r="A208" s="23"/>
      <c r="CS208" s="24"/>
    </row>
    <row r="209" spans="1:97">
      <c r="A209" s="23"/>
      <c r="CS209" s="24"/>
    </row>
    <row r="210" spans="1:97">
      <c r="A210" s="23"/>
      <c r="CS210" s="24"/>
    </row>
    <row r="211" spans="1:97">
      <c r="A211" s="23"/>
      <c r="CS211" s="24"/>
    </row>
    <row r="212" spans="1:97">
      <c r="A212" s="23"/>
      <c r="CS212" s="24"/>
    </row>
    <row r="213" spans="1:97">
      <c r="A213" s="23"/>
      <c r="CS213" s="24"/>
    </row>
    <row r="214" spans="1:97">
      <c r="A214" s="23"/>
      <c r="CS214" s="24"/>
    </row>
    <row r="215" spans="1:97">
      <c r="A215" s="23"/>
      <c r="CS215" s="24"/>
    </row>
    <row r="216" spans="1:97">
      <c r="A216" s="23"/>
      <c r="CS216" s="24"/>
    </row>
    <row r="217" spans="1:97">
      <c r="A217" s="23"/>
      <c r="CS217" s="24"/>
    </row>
    <row r="218" spans="1:97">
      <c r="A218" s="23"/>
      <c r="CS218" s="24"/>
    </row>
    <row r="219" spans="1:97">
      <c r="A219" s="23"/>
      <c r="CS219" s="24"/>
    </row>
    <row r="220" spans="1:97">
      <c r="A220" s="23"/>
      <c r="CS220" s="24"/>
    </row>
    <row r="221" spans="1:97">
      <c r="A221" s="23"/>
      <c r="CS221" s="24"/>
    </row>
    <row r="222" spans="1:97">
      <c r="A222" s="23"/>
      <c r="CS222" s="24"/>
    </row>
    <row r="223" spans="1:97">
      <c r="A223" s="23"/>
      <c r="CS223" s="24"/>
    </row>
    <row r="224" spans="1:97">
      <c r="A224" s="23"/>
      <c r="CS224" s="24"/>
    </row>
    <row r="225" spans="1:97">
      <c r="A225" s="23"/>
      <c r="CS225" s="24"/>
    </row>
    <row r="226" spans="1:97">
      <c r="A226" s="23"/>
      <c r="CS226" s="24"/>
    </row>
    <row r="227" spans="1:97">
      <c r="A227" s="23"/>
      <c r="CS227" s="24"/>
    </row>
    <row r="228" spans="1:97">
      <c r="A228" s="23"/>
      <c r="CS228" s="24"/>
    </row>
    <row r="229" spans="1:97">
      <c r="A229" s="23"/>
      <c r="CS229" s="24"/>
    </row>
    <row r="230" spans="1:97">
      <c r="A230" s="23"/>
      <c r="CS230" s="24"/>
    </row>
    <row r="231" spans="1:97">
      <c r="A231" s="23"/>
      <c r="CS231" s="2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X1"/>
    <mergeCell ref="BN1:CT1"/>
    <mergeCell ref="BG1:BJ1"/>
    <mergeCell ref="BK1:BM1"/>
  </mergeCells>
  <conditionalFormatting sqref="D194:D1048576 D1:D3">
    <cfRule type="duplicateValues" dxfId="69" priority="122"/>
  </conditionalFormatting>
  <conditionalFormatting sqref="G1:G3 G5:G169 G171:G192 G194:G1048576">
    <cfRule type="containsText" dxfId="68" priority="116" operator="containsText" text="true">
      <formula>NOT(ISERROR(SEARCH("true",G1)))</formula>
    </cfRule>
  </conditionalFormatting>
  <conditionalFormatting sqref="D5:D10 D12:D16">
    <cfRule type="duplicateValues" dxfId="67" priority="112"/>
  </conditionalFormatting>
  <conditionalFormatting sqref="D11">
    <cfRule type="duplicateValues" dxfId="66" priority="111"/>
  </conditionalFormatting>
  <conditionalFormatting sqref="D17">
    <cfRule type="duplicateValues" dxfId="65" priority="110"/>
  </conditionalFormatting>
  <conditionalFormatting sqref="D18:D20 D23:D35">
    <cfRule type="duplicateValues" dxfId="64" priority="109"/>
  </conditionalFormatting>
  <conditionalFormatting sqref="D21">
    <cfRule type="duplicateValues" dxfId="63" priority="108"/>
  </conditionalFormatting>
  <conditionalFormatting sqref="D22">
    <cfRule type="duplicateValues" dxfId="62" priority="107"/>
  </conditionalFormatting>
  <conditionalFormatting sqref="AR142 A141:AR141 A140:AP140 A142:L162 AN137:AP139 AN136:AQ136 AV136:AW140 A136:AK139 R85:R168 S28:V169 A163:AR163 A59:AR60 A55:AQ58 A62:AR77 A61:AQ61 A79:AR79 A78:AQ78 A80:AQ80 A128:AR128 A127:AQ127 A130:AR135 A129:AQ129 AR144:AR145 BB142:BE145 AT142:AW145 N142:W145 AN142:AP142 AP143:AP145 A81:AR86 A113:AR126 A87:AQ112 Y142:AL142 Y143:AK145 A171:BF174 BA139:CX140 AT141:CX141 A164:CX169 AT163:CX163 A5:CX5 BB136:CX138 BL171:CX174 BG142:CX162 AT6:CX135 BG4:CN4 AT170:CX170 A175:CX192 A6:AR54">
    <cfRule type="containsText" dxfId="61" priority="106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60" priority="103" operator="containsText" text="true">
      <formula>NOT(ISERROR(SEARCH("true",N146)))</formula>
    </cfRule>
  </conditionalFormatting>
  <conditionalFormatting sqref="AL136:AM139">
    <cfRule type="containsText" dxfId="59" priority="101" operator="containsText" text="true">
      <formula>NOT(ISERROR(SEARCH("true",AL136)))</formula>
    </cfRule>
  </conditionalFormatting>
  <conditionalFormatting sqref="AT137:AT140 AT136:AU136">
    <cfRule type="containsText" dxfId="58" priority="100" operator="containsText" text="true">
      <formula>NOT(ISERROR(SEARCH("true",AT136)))</formula>
    </cfRule>
  </conditionalFormatting>
  <conditionalFormatting sqref="AX137:AX140 AX136:AY136">
    <cfRule type="containsText" dxfId="57" priority="99" operator="containsText" text="true">
      <formula>NOT(ISERROR(SEARCH("true",AX136)))</formula>
    </cfRule>
  </conditionalFormatting>
  <conditionalFormatting sqref="AZ139:AZ140">
    <cfRule type="containsText" dxfId="56" priority="98" operator="containsText" text="true">
      <formula>NOT(ISERROR(SEARCH("true",AZ139)))</formula>
    </cfRule>
  </conditionalFormatting>
  <conditionalFormatting sqref="AS6:AS86 AS113:AS161">
    <cfRule type="containsText" dxfId="55" priority="91" operator="containsText" text="true">
      <formula>NOT(ISERROR(SEARCH("true",AS6)))</formula>
    </cfRule>
  </conditionalFormatting>
  <conditionalFormatting sqref="AR55:AR58">
    <cfRule type="containsText" dxfId="54" priority="90" operator="containsText" text="true">
      <formula>NOT(ISERROR(SEARCH("true",AR55)))</formula>
    </cfRule>
  </conditionalFormatting>
  <conditionalFormatting sqref="AR61">
    <cfRule type="containsText" dxfId="53" priority="89" operator="containsText" text="true">
      <formula>NOT(ISERROR(SEARCH("true",AR61)))</formula>
    </cfRule>
  </conditionalFormatting>
  <conditionalFormatting sqref="AR78">
    <cfRule type="containsText" dxfId="52" priority="88" operator="containsText" text="true">
      <formula>NOT(ISERROR(SEARCH("true",AR78)))</formula>
    </cfRule>
  </conditionalFormatting>
  <conditionalFormatting sqref="AR80">
    <cfRule type="containsText" dxfId="51" priority="87" operator="containsText" text="true">
      <formula>NOT(ISERROR(SEARCH("true",AR80)))</formula>
    </cfRule>
  </conditionalFormatting>
  <conditionalFormatting sqref="AR127">
    <cfRule type="containsText" dxfId="50" priority="86" operator="containsText" text="true">
      <formula>NOT(ISERROR(SEARCH("true",AR127)))</formula>
    </cfRule>
  </conditionalFormatting>
  <conditionalFormatting sqref="AR129">
    <cfRule type="containsText" dxfId="49" priority="85" operator="containsText" text="true">
      <formula>NOT(ISERROR(SEARCH("true",AR129)))</formula>
    </cfRule>
  </conditionalFormatting>
  <conditionalFormatting sqref="AR143">
    <cfRule type="containsText" dxfId="48" priority="84" operator="containsText" text="true">
      <formula>NOT(ISERROR(SEARCH("true",AR143)))</formula>
    </cfRule>
  </conditionalFormatting>
  <conditionalFormatting sqref="M142:M162">
    <cfRule type="containsText" dxfId="47" priority="73" operator="containsText" text="true">
      <formula>NOT(ISERROR(SEARCH("true",M142)))</formula>
    </cfRule>
  </conditionalFormatting>
  <conditionalFormatting sqref="AX143:AX160">
    <cfRule type="containsText" dxfId="46" priority="70" operator="containsText" text="true">
      <formula>NOT(ISERROR(SEARCH("true",AX143)))</formula>
    </cfRule>
  </conditionalFormatting>
  <conditionalFormatting sqref="AX142">
    <cfRule type="containsText" dxfId="45" priority="69" operator="containsText" text="true">
      <formula>NOT(ISERROR(SEARCH("true",AX142)))</formula>
    </cfRule>
  </conditionalFormatting>
  <conditionalFormatting sqref="BF142:BF161">
    <cfRule type="containsText" dxfId="44" priority="67" operator="containsText" text="true">
      <formula>NOT(ISERROR(SEARCH("true",BF142)))</formula>
    </cfRule>
  </conditionalFormatting>
  <conditionalFormatting sqref="AR136">
    <cfRule type="containsText" dxfId="43" priority="66" operator="containsText" text="true">
      <formula>NOT(ISERROR(SEARCH("true",AR136)))</formula>
    </cfRule>
  </conditionalFormatting>
  <conditionalFormatting sqref="AR137">
    <cfRule type="containsText" dxfId="42" priority="65" operator="containsText" text="true">
      <formula>NOT(ISERROR(SEARCH("true",AR137)))</formula>
    </cfRule>
  </conditionalFormatting>
  <conditionalFormatting sqref="AR138">
    <cfRule type="containsText" dxfId="41" priority="64" operator="containsText" text="true">
      <formula>NOT(ISERROR(SEARCH("true",AR138)))</formula>
    </cfRule>
  </conditionalFormatting>
  <conditionalFormatting sqref="AR139">
    <cfRule type="containsText" dxfId="40" priority="63" operator="containsText" text="true">
      <formula>NOT(ISERROR(SEARCH("true",AR139)))</formula>
    </cfRule>
  </conditionalFormatting>
  <conditionalFormatting sqref="AR140">
    <cfRule type="containsText" dxfId="39" priority="62" operator="containsText" text="true">
      <formula>NOT(ISERROR(SEARCH("true",AR140)))</formula>
    </cfRule>
  </conditionalFormatting>
  <conditionalFormatting sqref="AL143:AL162 AN162">
    <cfRule type="containsText" dxfId="38" priority="60" operator="containsText" text="true">
      <formula>NOT(ISERROR(SEARCH("true",AL143)))</formula>
    </cfRule>
  </conditionalFormatting>
  <conditionalFormatting sqref="AM162">
    <cfRule type="containsText" dxfId="37" priority="58" operator="containsText" text="true">
      <formula>NOT(ISERROR(SEARCH("true",AM162)))</formula>
    </cfRule>
  </conditionalFormatting>
  <conditionalFormatting sqref="BA142:BA162">
    <cfRule type="containsText" dxfId="36" priority="54" operator="containsText" text="true">
      <formula>NOT(ISERROR(SEARCH("true",BA142)))</formula>
    </cfRule>
  </conditionalFormatting>
  <conditionalFormatting sqref="AN143:AN161">
    <cfRule type="containsText" dxfId="35" priority="49" operator="containsText" text="true">
      <formula>NOT(ISERROR(SEARCH("true",AN143)))</formula>
    </cfRule>
  </conditionalFormatting>
  <conditionalFormatting sqref="AO162">
    <cfRule type="containsText" dxfId="34" priority="47" operator="containsText" text="true">
      <formula>NOT(ISERROR(SEARCH("true",AO162)))</formula>
    </cfRule>
  </conditionalFormatting>
  <conditionalFormatting sqref="AS162">
    <cfRule type="containsText" dxfId="33" priority="46" operator="containsText" text="true">
      <formula>NOT(ISERROR(SEARCH("true",AS162)))</formula>
    </cfRule>
  </conditionalFormatting>
  <conditionalFormatting sqref="AW162">
    <cfRule type="containsText" dxfId="32" priority="45" operator="containsText" text="true">
      <formula>NOT(ISERROR(SEARCH("true",AW162)))</formula>
    </cfRule>
  </conditionalFormatting>
  <conditionalFormatting sqref="AZ142 AZ144:AZ145">
    <cfRule type="containsText" dxfId="31" priority="44" operator="containsText" text="true">
      <formula>NOT(ISERROR(SEARCH("true",AZ142)))</formula>
    </cfRule>
  </conditionalFormatting>
  <conditionalFormatting sqref="AZ146:AZ162">
    <cfRule type="containsText" dxfId="30" priority="43" operator="containsText" text="true">
      <formula>NOT(ISERROR(SEARCH("true",AZ146)))</formula>
    </cfRule>
  </conditionalFormatting>
  <conditionalFormatting sqref="AZ143">
    <cfRule type="containsText" dxfId="29" priority="42" operator="containsText" text="true">
      <formula>NOT(ISERROR(SEARCH("true",AZ143)))</formula>
    </cfRule>
  </conditionalFormatting>
  <conditionalFormatting sqref="AY162">
    <cfRule type="containsText" dxfId="28" priority="38" operator="containsText" text="true">
      <formula>NOT(ISERROR(SEARCH("true",AY162)))</formula>
    </cfRule>
  </conditionalFormatting>
  <conditionalFormatting sqref="AQ142:AQ161">
    <cfRule type="containsText" dxfId="27" priority="37" operator="containsText" text="true">
      <formula>NOT(ISERROR(SEARCH("true",AQ142)))</formula>
    </cfRule>
  </conditionalFormatting>
  <conditionalFormatting sqref="AY142:AY161">
    <cfRule type="containsText" dxfId="26" priority="36" operator="containsText" text="true">
      <formula>NOT(ISERROR(SEARCH("true",AY142)))</formula>
    </cfRule>
  </conditionalFormatting>
  <conditionalFormatting sqref="AM142:AM161">
    <cfRule type="containsText" dxfId="25" priority="35" operator="containsText" text="true">
      <formula>NOT(ISERROR(SEARCH("true",AM142)))</formula>
    </cfRule>
  </conditionalFormatting>
  <conditionalFormatting sqref="AO143:AO161">
    <cfRule type="containsText" dxfId="24" priority="34" operator="containsText" text="true">
      <formula>NOT(ISERROR(SEARCH("true",AO143)))</formula>
    </cfRule>
  </conditionalFormatting>
  <conditionalFormatting sqref="AU162">
    <cfRule type="containsText" dxfId="23" priority="32" operator="containsText" text="true">
      <formula>NOT(ISERROR(SEARCH("true",AU162)))</formula>
    </cfRule>
  </conditionalFormatting>
  <conditionalFormatting sqref="AQ162">
    <cfRule type="containsText" dxfId="22" priority="31" operator="containsText" text="true">
      <formula>NOT(ISERROR(SEARCH("true",AQ162)))</formula>
    </cfRule>
  </conditionalFormatting>
  <conditionalFormatting sqref="X142:X162">
    <cfRule type="containsText" dxfId="21" priority="28" operator="containsText" text="true">
      <formula>NOT(ISERROR(SEARCH("true",X142)))</formula>
    </cfRule>
  </conditionalFormatting>
  <conditionalFormatting sqref="AR87:AR112">
    <cfRule type="containsText" dxfId="20" priority="27" operator="containsText" text="true">
      <formula>NOT(ISERROR(SEARCH("true",AR87)))</formula>
    </cfRule>
  </conditionalFormatting>
  <conditionalFormatting sqref="AS87:AS112">
    <cfRule type="containsText" dxfId="19" priority="26" operator="containsText" text="true">
      <formula>NOT(ISERROR(SEARCH("true",AS87)))</formula>
    </cfRule>
  </conditionalFormatting>
  <conditionalFormatting sqref="BA136:BA138">
    <cfRule type="containsText" dxfId="18" priority="25" operator="containsText" text="true">
      <formula>NOT(ISERROR(SEARCH("true",BA136)))</formula>
    </cfRule>
  </conditionalFormatting>
  <conditionalFormatting sqref="AZ136">
    <cfRule type="containsText" dxfId="17" priority="24" operator="containsText" text="true">
      <formula>NOT(ISERROR(SEARCH("true",AZ136)))</formula>
    </cfRule>
  </conditionalFormatting>
  <conditionalFormatting sqref="AZ137">
    <cfRule type="containsText" dxfId="16" priority="23" operator="containsText" text="true">
      <formula>NOT(ISERROR(SEARCH("true",AZ137)))</formula>
    </cfRule>
  </conditionalFormatting>
  <conditionalFormatting sqref="AZ138">
    <cfRule type="containsText" dxfId="15" priority="22" operator="containsText" text="true">
      <formula>NOT(ISERROR(SEARCH("true",AZ138)))</formula>
    </cfRule>
  </conditionalFormatting>
  <conditionalFormatting sqref="G4">
    <cfRule type="containsText" dxfId="14" priority="21" operator="containsText" text="true">
      <formula>NOT(ISERROR(SEARCH("true",G4)))</formula>
    </cfRule>
  </conditionalFormatting>
  <conditionalFormatting sqref="D4">
    <cfRule type="duplicateValues" dxfId="13" priority="20"/>
  </conditionalFormatting>
  <conditionalFormatting sqref="AT4:BE4 A4:D4 N4:AI4 AK4:AR4 CP4:CX4 F4:L4">
    <cfRule type="containsText" dxfId="12" priority="19" operator="containsText" text="true">
      <formula>NOT(ISERROR(SEARCH("true",A4)))</formula>
    </cfRule>
  </conditionalFormatting>
  <conditionalFormatting sqref="AS4">
    <cfRule type="containsText" dxfId="11" priority="18" operator="containsText" text="true">
      <formula>NOT(ISERROR(SEARCH("true",AS4)))</formula>
    </cfRule>
  </conditionalFormatting>
  <conditionalFormatting sqref="AJ4">
    <cfRule type="containsText" dxfId="10" priority="16" operator="containsText" text="true">
      <formula>NOT(ISERROR(SEARCH("true",AJ4)))</formula>
    </cfRule>
  </conditionalFormatting>
  <conditionalFormatting sqref="BF4">
    <cfRule type="containsText" dxfId="9" priority="15" operator="containsText" text="true">
      <formula>NOT(ISERROR(SEARCH("true",BF4)))</formula>
    </cfRule>
  </conditionalFormatting>
  <conditionalFormatting sqref="CO4">
    <cfRule type="containsText" dxfId="8" priority="14" operator="containsText" text="true">
      <formula>NOT(ISERROR(SEARCH("true",CO4)))</formula>
    </cfRule>
  </conditionalFormatting>
  <conditionalFormatting sqref="E4">
    <cfRule type="containsText" dxfId="7" priority="13" operator="containsText" text="true">
      <formula>NOT(ISERROR(SEARCH("true",E4)))</formula>
    </cfRule>
  </conditionalFormatting>
  <conditionalFormatting sqref="M4">
    <cfRule type="containsText" dxfId="6" priority="12" operator="containsText" text="true">
      <formula>NOT(ISERROR(SEARCH("true",M4)))</formula>
    </cfRule>
  </conditionalFormatting>
  <conditionalFormatting sqref="G170">
    <cfRule type="containsText" dxfId="5" priority="11" operator="containsText" text="true">
      <formula>NOT(ISERROR(SEARCH("true",G170)))</formula>
    </cfRule>
  </conditionalFormatting>
  <conditionalFormatting sqref="A170:AR170">
    <cfRule type="containsText" dxfId="4" priority="10" operator="containsText" text="true">
      <formula>NOT(ISERROR(SEARCH("true",A170)))</formula>
    </cfRule>
  </conditionalFormatting>
  <conditionalFormatting sqref="BG171:BK173">
    <cfRule type="containsText" dxfId="3" priority="5" operator="containsText" text="true">
      <formula>NOT(ISERROR(SEARCH("true",BG171)))</formula>
    </cfRule>
  </conditionalFormatting>
  <conditionalFormatting sqref="BG174:BK174">
    <cfRule type="containsText" dxfId="2" priority="4" operator="containsText" text="true">
      <formula>NOT(ISERROR(SEARCH("true",BG174)))</formula>
    </cfRule>
  </conditionalFormatting>
  <conditionalFormatting sqref="G193">
    <cfRule type="containsText" dxfId="1" priority="2" operator="containsText" text="true">
      <formula>NOT(ISERROR(SEARCH("true",G193)))</formula>
    </cfRule>
  </conditionalFormatting>
  <conditionalFormatting sqref="A193:CX193">
    <cfRule type="containsText" dxfId="0" priority="1" operator="containsText" text="true">
      <formula>NOT(ISERROR(SEARCH("true",A193)))</formula>
    </cfRule>
  </conditionalFormatting>
  <dataValidations count="14">
    <dataValidation type="whole" allowBlank="1" showInputMessage="1" showErrorMessage="1" sqref="H194:H331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3">
      <formula1>1</formula1>
      <formula2>4</formula2>
    </dataValidation>
    <dataValidation type="decimal" operator="greaterThanOrEqual" allowBlank="1" showInputMessage="1" showErrorMessage="1" sqref="J4:J331 AA4:AD331 BB4:BE331 AF4:AF331 AH4:AH331">
      <formula1>0</formula1>
    </dataValidation>
    <dataValidation type="whole" allowBlank="1" showInputMessage="1" showErrorMessage="1" sqref="AI4:AI331">
      <formula1>1</formula1>
      <formula2>10</formula2>
    </dataValidation>
    <dataValidation type="whole" allowBlank="1" showInputMessage="1" showErrorMessage="1" sqref="BH4:BH331 AR4:AR331 AV4:AV331 AN4:AN331 AZ4:AZ331">
      <formula1>0</formula1>
      <formula2>24</formula2>
    </dataValidation>
    <dataValidation type="whole" allowBlank="1" showInputMessage="1" showErrorMessage="1" sqref="AG4:AG331">
      <formula1>0</formula1>
      <formula2>9</formula2>
    </dataValidation>
    <dataValidation type="whole" allowBlank="1" showInputMessage="1" showErrorMessage="1" sqref="AE4:AE331">
      <formula1>0</formula1>
      <formula2>5</formula2>
    </dataValidation>
    <dataValidation type="decimal" operator="greaterThanOrEqual" allowBlank="1" showInputMessage="1" showErrorMessage="1" sqref="F4:F331">
      <formula1>1</formula1>
    </dataValidation>
    <dataValidation type="whole" allowBlank="1" showInputMessage="1" showErrorMessage="1" sqref="BL4:BL331">
      <formula1>0</formula1>
      <formula2>0</formula2>
    </dataValidation>
    <dataValidation type="list" allowBlank="1" showInputMessage="1" showErrorMessage="1" sqref="E194:E1048576 E1:E67 E136:E138 E112 E119:E123 E84:E85 E115 E142:E162">
      <formula1>$A$4:$A$193</formula1>
    </dataValidation>
    <dataValidation type="custom" allowBlank="1" showInputMessage="1" showErrorMessage="1" sqref="A197">
      <formula1>COUNTIF($C:$D, D192)&lt;=1</formula1>
    </dataValidation>
    <dataValidation type="custom" allowBlank="1" showInputMessage="1" showErrorMessage="1" sqref="D192">
      <formula1>COUNTIF($C:$D, E197)&lt;=1</formula1>
    </dataValidation>
    <dataValidation type="custom" allowBlank="1" showInputMessage="1" showErrorMessage="1" sqref="A198:A331 E113:E114 E139:E141 C194:C196 C198:C331 D194:D331 E68:E83 C4:D35 E116:E118 E86:E111 E124:E135 A4:A196 E163:E193">
      <formula1>COUNTIF($C:$D, C4)&lt;=1</formula1>
    </dataValidation>
    <dataValidation type="custom" allowBlank="1" showInputMessage="1" showErrorMessage="1" sqref="D36:D191 D193">
      <formula1>COUNTIF($C:$D, E36)&lt;=1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validation_menus!$A$2:$A$3</xm:f>
          </x14:formula1>
          <xm:sqref>S194:V331 AX123 AL123 AT123 AT136:AT140 AX136:AX140 AJ4 Q36:R170 Q175:R184 Q171:V174 N36:P184 N185:V185 BX194:BX331 CQ4:CQ193 BY4:CN331 BS4:BW331 BM4:BM331 CU4:CU331 CX4:CX331 K4:L331 AJ36:AK331 AP36:AP331 G4:G331 X36:Z331 N186:R331</xm:sqref>
        </x14:dataValidation>
        <x14:dataValidation type="list" allowBlank="1" showInputMessage="1" showErrorMessage="1">
          <x14:formula1>
            <xm:f>validation_menus!$B$2:$B$10</xm:f>
          </x14:formula1>
          <xm:sqref>AS4:AS162 AS164:AS169 BI4:BI331 AO36:AO331 AW36:AW331 BA36:BA331 AS171:AS331</xm:sqref>
        </x14:dataValidation>
        <x14:dataValidation type="list" allowBlank="1" showInputMessage="1" showErrorMessage="1">
          <x14:formula1>
            <xm:f>validation_menus!$C$2:$C$3</xm:f>
          </x14:formula1>
          <xm:sqref>BK4:BK331</xm:sqref>
        </x14:dataValidation>
        <x14:dataValidation type="list" allowBlank="1" showInputMessage="1" showErrorMessage="1">
          <x14:formula1>
            <xm:f>validation_menus!$D$2:$D$95</xm:f>
          </x14:formula1>
          <xm:sqref>W36:W331</xm:sqref>
        </x14:dataValidation>
        <x14:dataValidation type="list" allowBlank="1" showInputMessage="1" showErrorMessage="1">
          <x14:formula1>
            <xm:f>validation_menus!$E$2:$E$6</xm:f>
          </x14:formula1>
          <xm:sqref>I4:I331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S175:V184 S186:V193</xm:sqref>
        </x14:dataValidation>
        <x14:dataValidation type="list" allowBlank="1" showInputMessage="1" showErrorMessage="1">
          <x14:formula1>
            <xm:f>validation_menus!$F$2:$F$11</xm:f>
          </x14:formula1>
          <xm:sqref>BX4:BX193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F4" sqref="F4"/>
    </sheetView>
  </sheetViews>
  <sheetFormatPr defaultColWidth="11" defaultRowHeight="15.5"/>
  <cols>
    <col min="2" max="2" width="15" bestFit="1" customWidth="1"/>
    <col min="3" max="3" width="13.1640625" customWidth="1"/>
    <col min="6" max="6" width="17.91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723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720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725</v>
      </c>
    </row>
    <row r="4" spans="1:6">
      <c r="B4">
        <v>6</v>
      </c>
      <c r="D4" t="s">
        <v>108</v>
      </c>
      <c r="E4" s="22" t="s">
        <v>68</v>
      </c>
      <c r="F4" t="s">
        <v>726</v>
      </c>
    </row>
    <row r="5" spans="1:6">
      <c r="B5">
        <v>8</v>
      </c>
      <c r="D5" t="s">
        <v>109</v>
      </c>
      <c r="E5" s="22" t="s">
        <v>72</v>
      </c>
      <c r="F5" t="s">
        <v>727</v>
      </c>
    </row>
    <row r="6" spans="1:6">
      <c r="B6">
        <v>12</v>
      </c>
      <c r="D6" t="s">
        <v>110</v>
      </c>
      <c r="E6" s="22" t="s">
        <v>67</v>
      </c>
      <c r="F6" t="s">
        <v>728</v>
      </c>
    </row>
    <row r="7" spans="1:6">
      <c r="B7">
        <v>18</v>
      </c>
      <c r="D7" t="s">
        <v>111</v>
      </c>
      <c r="E7" s="22"/>
      <c r="F7" s="22" t="s">
        <v>729</v>
      </c>
    </row>
    <row r="8" spans="1:6">
      <c r="B8">
        <v>24</v>
      </c>
      <c r="D8" t="s">
        <v>112</v>
      </c>
      <c r="E8" s="22"/>
      <c r="F8" t="s">
        <v>730</v>
      </c>
    </row>
    <row r="9" spans="1:6">
      <c r="B9">
        <v>36</v>
      </c>
      <c r="D9" t="s">
        <v>113</v>
      </c>
      <c r="E9" s="22"/>
      <c r="F9" t="s">
        <v>731</v>
      </c>
    </row>
    <row r="10" spans="1:6">
      <c r="B10">
        <v>48</v>
      </c>
      <c r="D10" t="s">
        <v>114</v>
      </c>
      <c r="E10" s="22"/>
      <c r="F10" t="s">
        <v>732</v>
      </c>
    </row>
    <row r="11" spans="1:6" ht="17">
      <c r="A11" s="1"/>
      <c r="D11" t="s">
        <v>115</v>
      </c>
      <c r="E11" s="22"/>
      <c r="F11" t="s">
        <v>733</v>
      </c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2018-10-30T15:32:22Z</dcterms:modified>
</cp:coreProperties>
</file>
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929" codeName="{7A2D7E96-6E34-419A-AE5F-296B3A7E7977}"/>
  <workbookPr showInkAnnotation="0" codeName="ThisWorkbook" autoCompressPictures="0"/>
  <bookViews>
    <workbookView xWindow="1540" yWindow="1340" windowWidth="32560" windowHeight="17880" tabRatio="500"/>
  </bookViews>
  <sheets>
    <sheet name="Styles" sheetId="1" r:id="rId1"/>
    <sheet name="validation_menus" sheetId="2" r:id="rId2"/>
  </sheets>
  <definedNames>
    <definedName name="_xlnm._FilterDatabase" localSheetId="0" hidden="1">Styles!$A$3:$CM$481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29" i="1" l="1"/>
  <c r="CL329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4" i="1"/>
  <c r="CL482" i="1"/>
  <c r="CL483" i="1"/>
  <c r="CL484" i="1"/>
  <c r="CL485" i="1"/>
  <c r="CL486" i="1"/>
  <c r="CL487" i="1"/>
  <c r="CL488" i="1"/>
  <c r="CL489" i="1"/>
  <c r="CL490" i="1"/>
  <c r="CL491" i="1"/>
  <c r="CL492" i="1"/>
  <c r="CL493" i="1"/>
  <c r="CL494" i="1"/>
  <c r="CL495" i="1"/>
  <c r="CL496" i="1"/>
  <c r="CL497" i="1"/>
  <c r="CL498" i="1"/>
  <c r="CL499" i="1"/>
  <c r="CL500" i="1"/>
  <c r="CL501" i="1"/>
  <c r="CL502" i="1"/>
  <c r="CL503" i="1"/>
  <c r="CL504" i="1"/>
  <c r="CL505" i="1"/>
  <c r="CL506" i="1"/>
  <c r="CL507" i="1"/>
  <c r="CL508" i="1"/>
  <c r="CL509" i="1"/>
  <c r="CL510" i="1"/>
  <c r="CL511" i="1"/>
  <c r="CL512" i="1"/>
  <c r="CL513" i="1"/>
  <c r="CL514" i="1"/>
  <c r="CL515" i="1"/>
  <c r="CL516" i="1"/>
  <c r="CL517" i="1"/>
  <c r="CL518" i="1"/>
  <c r="CL325" i="1"/>
  <c r="CL326" i="1"/>
  <c r="CL327" i="1"/>
  <c r="CL328" i="1"/>
  <c r="CL330" i="1"/>
  <c r="CL331" i="1"/>
  <c r="CL332" i="1"/>
  <c r="CL333" i="1"/>
  <c r="CL334" i="1"/>
  <c r="CL335" i="1"/>
  <c r="CL336" i="1"/>
  <c r="CL337" i="1"/>
  <c r="CL338" i="1"/>
  <c r="CL339" i="1"/>
  <c r="CL340" i="1"/>
  <c r="CL341" i="1"/>
  <c r="CL342" i="1"/>
  <c r="CL343" i="1"/>
  <c r="CL344" i="1"/>
  <c r="CL345" i="1"/>
  <c r="CL346" i="1"/>
  <c r="CL347" i="1"/>
  <c r="CL348" i="1"/>
  <c r="CL349" i="1"/>
  <c r="CL350" i="1"/>
  <c r="CL351" i="1"/>
  <c r="CL352" i="1"/>
  <c r="CL353" i="1"/>
  <c r="CL354" i="1"/>
  <c r="CL355" i="1"/>
  <c r="CL356" i="1"/>
  <c r="CL357" i="1"/>
  <c r="CL358" i="1"/>
  <c r="CL359" i="1"/>
  <c r="CL360" i="1"/>
  <c r="CL361" i="1"/>
  <c r="CL362" i="1"/>
  <c r="CL363" i="1"/>
  <c r="CL364" i="1"/>
  <c r="CL365" i="1"/>
  <c r="CL366" i="1"/>
  <c r="CL367" i="1"/>
  <c r="CL368" i="1"/>
  <c r="CL369" i="1"/>
  <c r="CL370" i="1"/>
  <c r="CL371" i="1"/>
  <c r="CL372" i="1"/>
  <c r="CL373" i="1"/>
  <c r="CL374" i="1"/>
  <c r="CL375" i="1"/>
  <c r="CL376" i="1"/>
  <c r="CL377" i="1"/>
  <c r="CL378" i="1"/>
  <c r="CL379" i="1"/>
  <c r="CL380" i="1"/>
  <c r="CL381" i="1"/>
  <c r="CL382" i="1"/>
  <c r="CL383" i="1"/>
  <c r="CL384" i="1"/>
  <c r="CL385" i="1"/>
  <c r="CL386" i="1"/>
  <c r="CL387" i="1"/>
  <c r="CL388" i="1"/>
  <c r="CL389" i="1"/>
  <c r="CL390" i="1"/>
  <c r="CL391" i="1"/>
  <c r="CL392" i="1"/>
  <c r="CL393" i="1"/>
  <c r="CL394" i="1"/>
  <c r="CL395" i="1"/>
  <c r="CL396" i="1"/>
  <c r="CL397" i="1"/>
  <c r="CL398" i="1"/>
  <c r="CL399" i="1"/>
  <c r="CL400" i="1"/>
  <c r="CL401" i="1"/>
  <c r="CL402" i="1"/>
  <c r="CL403" i="1"/>
  <c r="CL404" i="1"/>
  <c r="CL405" i="1"/>
  <c r="CL406" i="1"/>
  <c r="CL407" i="1"/>
  <c r="CL408" i="1"/>
  <c r="CL409" i="1"/>
  <c r="CL410" i="1"/>
  <c r="CL411" i="1"/>
  <c r="CL412" i="1"/>
  <c r="CL413" i="1"/>
  <c r="CL414" i="1"/>
  <c r="CL415" i="1"/>
  <c r="CL416" i="1"/>
  <c r="CL417" i="1"/>
  <c r="CL418" i="1"/>
  <c r="CL419" i="1"/>
  <c r="CL420" i="1"/>
  <c r="CL421" i="1"/>
  <c r="CL422" i="1"/>
  <c r="CL423" i="1"/>
  <c r="CL424" i="1"/>
  <c r="CL425" i="1"/>
  <c r="CL426" i="1"/>
  <c r="CL427" i="1"/>
  <c r="CL428" i="1"/>
  <c r="CL429" i="1"/>
  <c r="CL430" i="1"/>
  <c r="CL431" i="1"/>
  <c r="CL432" i="1"/>
  <c r="CL433" i="1"/>
  <c r="CL434" i="1"/>
  <c r="CL435" i="1"/>
  <c r="CL436" i="1"/>
  <c r="CL437" i="1"/>
  <c r="CL438" i="1"/>
  <c r="CL439" i="1"/>
  <c r="CL440" i="1"/>
  <c r="CL441" i="1"/>
  <c r="CL442" i="1"/>
  <c r="CL443" i="1"/>
  <c r="CL444" i="1"/>
  <c r="CL445" i="1"/>
  <c r="CL446" i="1"/>
  <c r="CL447" i="1"/>
  <c r="CL448" i="1"/>
  <c r="CL449" i="1"/>
  <c r="CL450" i="1"/>
  <c r="CL451" i="1"/>
  <c r="CL452" i="1"/>
  <c r="CL453" i="1"/>
  <c r="CL454" i="1"/>
  <c r="CL455" i="1"/>
  <c r="CL456" i="1"/>
  <c r="CL457" i="1"/>
  <c r="CL458" i="1"/>
  <c r="CL459" i="1"/>
  <c r="CL460" i="1"/>
  <c r="CL461" i="1"/>
  <c r="CL462" i="1"/>
  <c r="CL463" i="1"/>
  <c r="CL464" i="1"/>
  <c r="CL465" i="1"/>
  <c r="CL466" i="1"/>
  <c r="CL467" i="1"/>
  <c r="CL468" i="1"/>
  <c r="CL469" i="1"/>
  <c r="CL470" i="1"/>
  <c r="CL471" i="1"/>
  <c r="CL472" i="1"/>
  <c r="CL473" i="1"/>
  <c r="CL474" i="1"/>
  <c r="CL475" i="1"/>
  <c r="CL476" i="1"/>
  <c r="CL477" i="1"/>
  <c r="CL478" i="1"/>
  <c r="CL479" i="1"/>
  <c r="CL480" i="1"/>
  <c r="CL481" i="1"/>
  <c r="CL5" i="1"/>
  <c r="CL6" i="1"/>
  <c r="CL7" i="1"/>
  <c r="CL8" i="1"/>
  <c r="CL9" i="1"/>
  <c r="CL10" i="1"/>
  <c r="CL11" i="1"/>
  <c r="CL12" i="1"/>
  <c r="CL13" i="1"/>
  <c r="CL14" i="1"/>
  <c r="CL15" i="1"/>
  <c r="CL16" i="1"/>
  <c r="CL17" i="1"/>
  <c r="CL18" i="1"/>
  <c r="CL19" i="1"/>
  <c r="CL20" i="1"/>
  <c r="CL21" i="1"/>
  <c r="CL22" i="1"/>
  <c r="CL23" i="1"/>
  <c r="CL24" i="1"/>
  <c r="CL25" i="1"/>
  <c r="CL26" i="1"/>
  <c r="CL27" i="1"/>
  <c r="CL28" i="1"/>
  <c r="CL29" i="1"/>
  <c r="CL30" i="1"/>
  <c r="CL31" i="1"/>
  <c r="CL32" i="1"/>
  <c r="CL33" i="1"/>
  <c r="CL34" i="1"/>
  <c r="CL35" i="1"/>
  <c r="CL36" i="1"/>
  <c r="CL37" i="1"/>
  <c r="CL38" i="1"/>
  <c r="CL39" i="1"/>
  <c r="CL40" i="1"/>
  <c r="CL41" i="1"/>
  <c r="CL42" i="1"/>
  <c r="CL43" i="1"/>
  <c r="CL44" i="1"/>
  <c r="CL45" i="1"/>
  <c r="CL46" i="1"/>
  <c r="CL47" i="1"/>
  <c r="CL48" i="1"/>
  <c r="CL49" i="1"/>
  <c r="CL50" i="1"/>
  <c r="CL51" i="1"/>
  <c r="CL52" i="1"/>
  <c r="CL53" i="1"/>
  <c r="CL54" i="1"/>
  <c r="CL55" i="1"/>
  <c r="CL56" i="1"/>
  <c r="CL57" i="1"/>
  <c r="CL58" i="1"/>
  <c r="CL59" i="1"/>
  <c r="CL60" i="1"/>
  <c r="CL61" i="1"/>
  <c r="CL62" i="1"/>
  <c r="CL63" i="1"/>
  <c r="CL64" i="1"/>
  <c r="CL65" i="1"/>
  <c r="CL66" i="1"/>
  <c r="CL67" i="1"/>
  <c r="CL68" i="1"/>
  <c r="CL69" i="1"/>
  <c r="CL70" i="1"/>
  <c r="CL71" i="1"/>
  <c r="CL72" i="1"/>
  <c r="CL73" i="1"/>
  <c r="CL74" i="1"/>
  <c r="CL75" i="1"/>
  <c r="CL76" i="1"/>
  <c r="CL77" i="1"/>
  <c r="CL78" i="1"/>
  <c r="CL79" i="1"/>
  <c r="CL80" i="1"/>
  <c r="CL81" i="1"/>
  <c r="CL82" i="1"/>
  <c r="CL83" i="1"/>
  <c r="CL84" i="1"/>
  <c r="CL85" i="1"/>
  <c r="CL86" i="1"/>
  <c r="CL87" i="1"/>
  <c r="CL88" i="1"/>
  <c r="CL89" i="1"/>
  <c r="CL90" i="1"/>
  <c r="CL91" i="1"/>
  <c r="CL92" i="1"/>
  <c r="CL93" i="1"/>
  <c r="CL94" i="1"/>
  <c r="CL95" i="1"/>
  <c r="CL96" i="1"/>
  <c r="CL97" i="1"/>
  <c r="CL98" i="1"/>
  <c r="CL99" i="1"/>
  <c r="CL100" i="1"/>
  <c r="CL101" i="1"/>
  <c r="CL102" i="1"/>
  <c r="CL103" i="1"/>
  <c r="CL104" i="1"/>
  <c r="CL105" i="1"/>
  <c r="CL106" i="1"/>
  <c r="CL107" i="1"/>
  <c r="CL108" i="1"/>
  <c r="CL109" i="1"/>
  <c r="CL110" i="1"/>
  <c r="CL111" i="1"/>
  <c r="CL112" i="1"/>
  <c r="CL113" i="1"/>
  <c r="CL114" i="1"/>
  <c r="CL115" i="1"/>
  <c r="CL116" i="1"/>
  <c r="CL117" i="1"/>
  <c r="CL118" i="1"/>
  <c r="CL119" i="1"/>
  <c r="CL120" i="1"/>
  <c r="CL121" i="1"/>
  <c r="CL122" i="1"/>
  <c r="CL123" i="1"/>
  <c r="CL124" i="1"/>
  <c r="CL125" i="1"/>
  <c r="CL126" i="1"/>
  <c r="CL127" i="1"/>
  <c r="CL128" i="1"/>
  <c r="CL129" i="1"/>
  <c r="CL130" i="1"/>
  <c r="CL131" i="1"/>
  <c r="CL132" i="1"/>
  <c r="CL133" i="1"/>
  <c r="CL134" i="1"/>
  <c r="CL135" i="1"/>
  <c r="CL136" i="1"/>
  <c r="CL137" i="1"/>
  <c r="CL138" i="1"/>
  <c r="CL139" i="1"/>
  <c r="CL140" i="1"/>
  <c r="CL141" i="1"/>
  <c r="CL142" i="1"/>
  <c r="CL143" i="1"/>
  <c r="CL144" i="1"/>
  <c r="CL145" i="1"/>
  <c r="CL146" i="1"/>
  <c r="CL147" i="1"/>
  <c r="CL148" i="1"/>
  <c r="CL149" i="1"/>
  <c r="CL150" i="1"/>
  <c r="CL151" i="1"/>
  <c r="CL152" i="1"/>
  <c r="CL153" i="1"/>
  <c r="CL154" i="1"/>
  <c r="CL155" i="1"/>
  <c r="CL156" i="1"/>
  <c r="CL157" i="1"/>
  <c r="CL158" i="1"/>
  <c r="CL159" i="1"/>
  <c r="CL160" i="1"/>
  <c r="CL161" i="1"/>
  <c r="CL162" i="1"/>
  <c r="CL163" i="1"/>
  <c r="CL164" i="1"/>
  <c r="CL165" i="1"/>
  <c r="CL166" i="1"/>
  <c r="CL167" i="1"/>
  <c r="CL168" i="1"/>
  <c r="CL169" i="1"/>
  <c r="CL170" i="1"/>
  <c r="CL171" i="1"/>
  <c r="CL172" i="1"/>
  <c r="CL173" i="1"/>
  <c r="CL174" i="1"/>
  <c r="CL175" i="1"/>
  <c r="CL176" i="1"/>
  <c r="CL177" i="1"/>
  <c r="CL178" i="1"/>
  <c r="CL179" i="1"/>
  <c r="CL180" i="1"/>
  <c r="CL181" i="1"/>
  <c r="CL182" i="1"/>
  <c r="CL183" i="1"/>
  <c r="CL184" i="1"/>
  <c r="CL185" i="1"/>
  <c r="CL186" i="1"/>
  <c r="CL187" i="1"/>
  <c r="CL188" i="1"/>
  <c r="CL189" i="1"/>
  <c r="CL190" i="1"/>
  <c r="CL191" i="1"/>
  <c r="CL192" i="1"/>
  <c r="CL193" i="1"/>
  <c r="CL194" i="1"/>
  <c r="CL195" i="1"/>
  <c r="CL196" i="1"/>
  <c r="CL197" i="1"/>
  <c r="CL198" i="1"/>
  <c r="CL199" i="1"/>
  <c r="CL200" i="1"/>
  <c r="CL201" i="1"/>
  <c r="CL202" i="1"/>
  <c r="CL203" i="1"/>
  <c r="CL204" i="1"/>
  <c r="CL205" i="1"/>
  <c r="CL206" i="1"/>
  <c r="CL207" i="1"/>
  <c r="CL208" i="1"/>
  <c r="CL209" i="1"/>
  <c r="CL210" i="1"/>
  <c r="CL211" i="1"/>
  <c r="CL212" i="1"/>
  <c r="CL213" i="1"/>
  <c r="CL214" i="1"/>
  <c r="CL215" i="1"/>
  <c r="CL216" i="1"/>
  <c r="CL217" i="1"/>
  <c r="CL218" i="1"/>
  <c r="CL219" i="1"/>
  <c r="CL220" i="1"/>
  <c r="CL221" i="1"/>
  <c r="CL222" i="1"/>
  <c r="CL223" i="1"/>
  <c r="CL224" i="1"/>
  <c r="CL225" i="1"/>
  <c r="CL226" i="1"/>
  <c r="CL227" i="1"/>
  <c r="CL228" i="1"/>
  <c r="CL229" i="1"/>
  <c r="CL230" i="1"/>
  <c r="CL231" i="1"/>
  <c r="CL232" i="1"/>
  <c r="CL233" i="1"/>
  <c r="CL234" i="1"/>
  <c r="CL235" i="1"/>
  <c r="CL236" i="1"/>
  <c r="CL237" i="1"/>
  <c r="CL238" i="1"/>
  <c r="CL239" i="1"/>
  <c r="CL240" i="1"/>
  <c r="CL241" i="1"/>
  <c r="CL242" i="1"/>
  <c r="CL243" i="1"/>
  <c r="CL244" i="1"/>
  <c r="CL245" i="1"/>
  <c r="CL246" i="1"/>
  <c r="CL247" i="1"/>
  <c r="CL248" i="1"/>
  <c r="CL249" i="1"/>
  <c r="CL250" i="1"/>
  <c r="CL251" i="1"/>
  <c r="CL252" i="1"/>
  <c r="CL253" i="1"/>
  <c r="CL254" i="1"/>
  <c r="CL255" i="1"/>
  <c r="CL256" i="1"/>
  <c r="CL257" i="1"/>
  <c r="CL258" i="1"/>
  <c r="CL259" i="1"/>
  <c r="CL260" i="1"/>
  <c r="CL261" i="1"/>
  <c r="CL262" i="1"/>
  <c r="CL263" i="1"/>
  <c r="CL264" i="1"/>
  <c r="CL265" i="1"/>
  <c r="CL266" i="1"/>
  <c r="CL267" i="1"/>
  <c r="CL268" i="1"/>
  <c r="CL269" i="1"/>
  <c r="CL270" i="1"/>
  <c r="CL271" i="1"/>
  <c r="CL272" i="1"/>
  <c r="CL273" i="1"/>
  <c r="CL274" i="1"/>
  <c r="CL275" i="1"/>
  <c r="CL276" i="1"/>
  <c r="CL277" i="1"/>
  <c r="CL278" i="1"/>
  <c r="CL279" i="1"/>
  <c r="CL280" i="1"/>
  <c r="CL281" i="1"/>
  <c r="CL282" i="1"/>
  <c r="CL283" i="1"/>
  <c r="CL284" i="1"/>
  <c r="CL285" i="1"/>
  <c r="CL286" i="1"/>
  <c r="CL287" i="1"/>
  <c r="CL288" i="1"/>
  <c r="CL289" i="1"/>
  <c r="CL290" i="1"/>
  <c r="CL291" i="1"/>
  <c r="CL292" i="1"/>
  <c r="CL293" i="1"/>
  <c r="CL294" i="1"/>
  <c r="CL295" i="1"/>
  <c r="CL296" i="1"/>
  <c r="CL297" i="1"/>
  <c r="CL298" i="1"/>
  <c r="CL299" i="1"/>
  <c r="CL300" i="1"/>
  <c r="CL301" i="1"/>
  <c r="CL302" i="1"/>
  <c r="CL303" i="1"/>
  <c r="CL304" i="1"/>
  <c r="CL305" i="1"/>
  <c r="CL306" i="1"/>
  <c r="CL307" i="1"/>
  <c r="CL308" i="1"/>
  <c r="CL309" i="1"/>
  <c r="CL310" i="1"/>
  <c r="CL311" i="1"/>
  <c r="CL312" i="1"/>
  <c r="CL313" i="1"/>
  <c r="CL314" i="1"/>
  <c r="CL315" i="1"/>
  <c r="CL316" i="1"/>
  <c r="CL317" i="1"/>
  <c r="CL318" i="1"/>
  <c r="CL319" i="1"/>
  <c r="CL320" i="1"/>
  <c r="CL321" i="1"/>
  <c r="CL322" i="1"/>
  <c r="CL323" i="1"/>
  <c r="CL324" i="1"/>
  <c r="CL4" i="1"/>
</calcChain>
</file>

<file path=xl/sharedStrings.xml><?xml version="1.0" encoding="utf-8"?>
<sst xmlns="http://schemas.openxmlformats.org/spreadsheetml/2006/main" count="5779" uniqueCount="1557">
  <si>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</si>
  <si>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</si>
  <si>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</si>
  <si>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</si>
  <si>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</si>
  <si>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</si>
  <si>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</si>
  <si>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</si>
  <si>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</si>
  <si>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</si>
  <si>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</si>
  <si>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</si>
  <si>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</si>
  <si>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</si>
  <si>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</si>
  <si>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</si>
  <si>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</si>
  <si>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</si>
  <si>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</si>
  <si>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</si>
  <si>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</si>
  <si>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</si>
  <si>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</si>
  <si>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</si>
  <si>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</si>
  <si>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</si>
  <si>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</si>
  <si>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</si>
  <si>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</si>
  <si>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</si>
  <si>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</si>
  <si>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</si>
  <si>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</si>
  <si>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</si>
  <si>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</si>
  <si>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</si>
  <si>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</si>
  <si>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</si>
  <si>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</si>
  <si>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</si>
  <si>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</si>
  <si>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</si>
  <si>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</si>
  <si>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</si>
  <si>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</si>
  <si>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</si>
  <si>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</si>
  <si>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</si>
  <si>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</si>
  <si>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</si>
  <si>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</si>
  <si>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</si>
  <si>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</si>
  <si>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</si>
  <si>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</si>
  <si>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</si>
  <si>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</si>
  <si>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</si>
  <si>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</si>
  <si>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</si>
  <si>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</si>
  <si>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</si>
  <si>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</si>
  <si>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</si>
  <si>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</si>
  <si>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</si>
  <si>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</si>
  <si>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</si>
  <si>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</si>
  <si>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</si>
  <si>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</si>
  <si>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</si>
  <si>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</si>
  <si>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</si>
  <si>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</si>
  <si>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</si>
  <si>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</si>
  <si>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</si>
  <si>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</si>
  <si>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</si>
  <si>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</si>
  <si>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</si>
  <si>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</si>
  <si>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</si>
  <si>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</si>
  <si>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</si>
  <si>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</si>
  <si>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</si>
  <si>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</si>
  <si>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</si>
  <si>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</si>
  <si>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</si>
  <si>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</si>
  <si>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</si>
  <si>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</si>
  <si>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</si>
  <si>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</si>
  <si>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</si>
  <si>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</si>
  <si>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</si>
  <si>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</si>
  <si>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</si>
  <si>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</si>
  <si>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</si>
  <si>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</si>
  <si>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</si>
  <si>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</si>
  <si>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</si>
  <si>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</si>
  <si>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</si>
  <si>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</si>
  <si>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</si>
  <si>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</si>
  <si>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</si>
  <si>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</si>
  <si>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</si>
  <si>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</si>
  <si>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</si>
  <si>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</si>
  <si>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</si>
  <si>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</si>
  <si>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</si>
  <si>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</si>
  <si>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</si>
  <si>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</si>
  <si>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</si>
  <si>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</si>
  <si>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</si>
  <si>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</si>
  <si>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102,255,51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</si>
  <si>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</si>
  <si>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</si>
  <si>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</si>
  <si>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</si>
  <si>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</si>
  <si>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</si>
  <si>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</si>
  <si>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</si>
  <si>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</si>
  <si>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</si>
  <si>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</si>
  <si>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</si>
  <si>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</si>
  <si>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</si>
  <si>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</si>
  <si>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</si>
  <si>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</si>
  <si>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</si>
  <si>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</si>
  <si>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</si>
  <si>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</si>
  <si>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</si>
  <si>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</si>
  <si>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</si>
  <si>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</si>
  <si>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</si>
  <si>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</si>
  <si>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</si>
  <si>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</si>
  <si>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</si>
  <si>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</si>
  <si>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</si>
  <si>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</si>
  <si>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</si>
  <si>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</si>
  <si>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</si>
  <si>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</si>
  <si>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</si>
  <si>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</si>
  <si>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</si>
  <si>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</si>
  <si>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</si>
  <si>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</si>
  <si>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</si>
  <si>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</si>
  <si>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</si>
  <si>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</si>
  <si>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</si>
  <si>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</si>
  <si>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</si>
  <si>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</si>
  <si>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</si>
  <si>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</si>
  <si>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</si>
  <si>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</si>
  <si>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</si>
  <si>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</si>
  <si>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</si>
  <si>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</si>
  <si>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</si>
  <si>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</si>
  <si>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</si>
  <si>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</si>
  <si>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</si>
  <si>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</si>
  <si>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</si>
  <si>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</si>
  <si>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</si>
  <si>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</si>
  <si>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</si>
  <si>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</si>
  <si>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</si>
  <si>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</si>
  <si>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</si>
  <si>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</si>
  <si>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</si>
  <si>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</si>
  <si>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</si>
  <si>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</si>
  <si>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</si>
  <si>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</si>
  <si>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</si>
  <si>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</si>
  <si>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</si>
  <si>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</si>
  <si>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</si>
  <si>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</si>
  <si>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</si>
  <si>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</si>
  <si>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</si>
  <si>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</si>
  <si>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</si>
  <si>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</si>
  <si>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</si>
  <si>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</si>
  <si>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</si>
  <si>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</si>
  <si>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</si>
  <si>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</si>
  <si>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</si>
  <si>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</si>
  <si>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</si>
  <si>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</si>
  <si>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</si>
  <si>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</si>
  <si>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</si>
  <si>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</si>
  <si>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</si>
  <si>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</si>
  <si>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</si>
  <si>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</si>
  <si>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</si>
  <si>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</si>
  <si>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</si>
  <si>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</si>
  <si>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</si>
  <si>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</si>
  <si>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</si>
  <si>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</si>
  <si>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</si>
  <si>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</si>
  <si>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</si>
  <si>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</si>
  <si>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</si>
  <si>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</si>
  <si>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</si>
  <si>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</si>
  <si>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</si>
  <si>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</si>
  <si>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</si>
  <si>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</si>
  <si>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</si>
  <si>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</si>
  <si>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</si>
  <si>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</si>
  <si>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</si>
  <si>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</si>
  <si>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</si>
  <si>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</si>
  <si>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</si>
  <si>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</si>
  <si>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</si>
  <si>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</si>
  <si>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</si>
  <si>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</si>
  <si>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</si>
  <si>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</si>
  <si>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</si>
  <si>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</si>
  <si>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</si>
  <si>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</si>
  <si>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</si>
  <si>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</si>
  <si>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</si>
  <si>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</si>
  <si>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</si>
  <si>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</si>
  <si>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</si>
  <si>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</si>
  <si>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</si>
  <si>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</si>
  <si>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</si>
  <si>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</si>
  <si>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</si>
  <si>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</si>
  <si>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</si>
  <si>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</si>
  <si>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</si>
  <si>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</si>
  <si>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</si>
  <si>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</si>
  <si>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</si>
  <si>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</si>
  <si>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</si>
  <si>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</si>
  <si>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</si>
  <si>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</si>
  <si>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</si>
  <si>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</si>
  <si>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</si>
  <si>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</si>
  <si>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</si>
  <si>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</si>
  <si>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</si>
  <si>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</si>
  <si>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</si>
  <si>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</si>
  <si>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</si>
  <si>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</si>
  <si>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</si>
  <si>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</si>
  <si>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</si>
  <si>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</si>
  <si>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</si>
  <si>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</si>
  <si>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</si>
  <si>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</si>
  <si>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</si>
  <si>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</si>
  <si>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</si>
  <si>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</si>
  <si>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</si>
  <si>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</si>
  <si>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</si>
  <si>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</si>
  <si>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</si>
  <si>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</si>
  <si>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</si>
  <si>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</si>
  <si>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</si>
  <si>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</si>
  <si>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</si>
  <si>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</si>
  <si>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</si>
  <si>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</si>
  <si>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</si>
  <si>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</si>
  <si>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</si>
  <si>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</si>
  <si>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</si>
  <si>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</si>
  <si>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</si>
  <si>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</si>
  <si>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</si>
  <si>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</si>
  <si>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</si>
  <si>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</si>
  <si>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</si>
  <si>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</si>
  <si>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</si>
  <si>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</si>
  <si>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</si>
  <si>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</si>
  <si>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153,255,204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</si>
  <si>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</si>
  <si>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</si>
  <si>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</si>
  <si>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</si>
  <si>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</si>
  <si>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</si>
  <si>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</si>
  <si>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102,255,20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</si>
  <si>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</si>
  <si>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</si>
  <si>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</si>
  <si>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</si>
  <si>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</si>
  <si>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</si>
  <si>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</si>
  <si>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</si>
  <si>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</si>
  <si>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</si>
  <si>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</si>
  <si>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</si>
  <si>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</si>
  <si>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</si>
  <si>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</si>
  <si>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</si>
  <si>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</si>
  <si>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</si>
  <si>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</si>
  <si>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</si>
  <si>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</si>
  <si>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</si>
  <si>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</si>
  <si>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</si>
  <si>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</si>
  <si>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</si>
  <si>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</si>
  <si>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</si>
  <si>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</si>
  <si>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</si>
  <si>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</si>
  <si>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</si>
  <si>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</si>
  <si>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</si>
  <si>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</si>
  <si>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</si>
  <si>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</si>
  <si>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</si>
  <si>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</si>
  <si>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</si>
  <si>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</si>
  <si>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</si>
  <si>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</si>
  <si>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</si>
  <si>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</si>
  <si>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</si>
  <si>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</si>
  <si>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</si>
  <si>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</si>
  <si>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</si>
  <si>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</si>
  <si>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</si>
  <si>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</si>
  <si>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</si>
  <si>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</si>
  <si>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</si>
  <si>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</si>
  <si>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</si>
  <si>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</si>
  <si>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</si>
  <si>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</si>
  <si>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</si>
  <si>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</si>
  <si>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</si>
  <si>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</si>
  <si>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</si>
  <si>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</si>
  <si>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</si>
  <si>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</si>
  <si>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</si>
  <si>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</si>
  <si>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</si>
  <si>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</si>
  <si>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</si>
  <si>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</si>
  <si>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</si>
  <si>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</si>
  <si>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</si>
  <si>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</si>
  <si>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</si>
  <si>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</si>
  <si>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</si>
  <si>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</si>
  <si>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</si>
  <si>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</si>
  <si>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</si>
  <si>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</si>
  <si>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</si>
  <si>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</si>
  <si>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</si>
  <si>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</si>
  <si>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</si>
  <si>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</si>
  <si>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</si>
  <si>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</si>
  <si>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</si>
  <si>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</si>
  <si>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</si>
  <si>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</si>
  <si>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</si>
  <si>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</si>
  <si>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</si>
  <si>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</si>
  <si>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</si>
  <si>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</si>
  <si>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</si>
  <si>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</si>
  <si>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</si>
  <si>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</si>
  <si>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</si>
  <si>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</si>
  <si>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</si>
  <si>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</si>
  <si>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</si>
  <si>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</si>
  <si>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</si>
  <si>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</si>
  <si>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</si>
  <si>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</si>
  <si>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</si>
  <si>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Full Style 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</si>
  <si>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</si>
  <si>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</si>
  <si>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</si>
  <si>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</si>
  <si>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</si>
  <si>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</si>
  <si>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</si>
  <si>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</si>
  <si>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</si>
  <si>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</si>
  <si>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</si>
  <si>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</si>
  <si>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</si>
  <si>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</si>
  <si>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</si>
  <si>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</si>
  <si>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</si>
  <si>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</si>
  <si>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</si>
  <si>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</si>
  <si>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</si>
  <si>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</si>
  <si>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</si>
  <si>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</si>
  <si>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</si>
  <si>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</si>
  <si>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</si>
  <si>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</si>
  <si>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</si>
  <si>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</si>
  <si>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</si>
  <si>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</si>
  <si>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</si>
  <si>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</si>
  <si>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</si>
  <si>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</si>
  <si>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</si>
  <si>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</si>
  <si>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</si>
  <si>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</si>
  <si>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</si>
  <si>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</si>
  <si>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</si>
  <si>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</si>
  <si>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</si>
  <si>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</si>
  <si>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</si>
  <si>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</si>
  <si>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</si>
  <si>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</si>
  <si>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</si>
  <si>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</si>
  <si>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</si>
  <si>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</si>
  <si>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</si>
  <si>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</si>
  <si>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</si>
  <si>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</si>
  <si>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</si>
  <si>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</si>
  <si>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</si>
  <si>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</si>
  <si>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</si>
  <si>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</si>
  <si>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</si>
  <si>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</si>
  <si>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</si>
  <si>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</si>
  <si>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</si>
  <si>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</si>
  <si>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</si>
  <si>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</si>
  <si>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</si>
  <si>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</si>
  <si>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</si>
  <si>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</si>
  <si>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</si>
  <si>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</si>
  <si>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</si>
  <si>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</si>
  <si>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</si>
  <si>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</si>
  <si>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</si>
  <si>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</si>
  <si>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</si>
  <si>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</si>
  <si>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</si>
  <si>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</si>
  <si>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</si>
  <si>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</si>
  <si>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</si>
  <si>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</si>
  <si>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</si>
  <si>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</si>
  <si>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</si>
  <si>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</si>
  <si>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</si>
  <si>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</si>
  <si>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</si>
  <si>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</si>
  <si>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</si>
  <si>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</si>
  <si>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</si>
  <si>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</si>
  <si>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</si>
  <si>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</si>
  <si>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</si>
  <si>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</si>
  <si>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</si>
  <si>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</si>
  <si>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</si>
  <si>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</si>
  <si>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</si>
  <si>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</si>
  <si>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</si>
  <si>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</si>
  <si>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</si>
  <si>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</si>
  <si>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</si>
  <si>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</si>
  <si>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</si>
  <si>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</si>
  <si>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</si>
  <si>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</si>
  <si>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</si>
  <si>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</si>
  <si>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</si>
  <si>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</si>
  <si>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</si>
  <si>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</si>
  <si>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</si>
  <si>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</si>
  <si>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</si>
  <si>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</si>
  <si>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</si>
  <si>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</si>
  <si>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</si>
  <si>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</si>
  <si>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</si>
  <si>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</si>
  <si>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</si>
  <si>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</si>
  <si>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</si>
  <si>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</si>
  <si>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</si>
  <si>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</si>
  <si>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</si>
  <si>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</si>
  <si>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</si>
  <si>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</si>
  <si>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</si>
  <si>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</si>
  <si>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</si>
  <si>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</si>
  <si>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</si>
  <si>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</si>
  <si>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</si>
  <si>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</si>
  <si>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</si>
  <si>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</si>
  <si>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</si>
  <si>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</si>
  <si>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</si>
  <si>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</si>
  <si>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</si>
  <si>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</si>
  <si>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</si>
  <si>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</si>
  <si>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</si>
  <si>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</si>
  <si>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</si>
  <si>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</si>
  <si>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</si>
  <si>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</si>
  <si>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</si>
  <si>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</si>
  <si>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</si>
  <si>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</si>
  <si>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</si>
  <si>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</si>
  <si>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</si>
  <si>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</si>
  <si>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</si>
  <si>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</si>
  <si>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</si>
  <si>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</si>
  <si>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</si>
  <si>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</si>
  <si>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</si>
  <si>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</si>
  <si>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</si>
  <si>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</si>
  <si>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</si>
  <si>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</si>
  <si>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</si>
  <si>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</si>
  <si>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</si>
  <si>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</si>
  <si>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</si>
  <si>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</si>
  <si>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</si>
  <si>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</si>
  <si>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</si>
  <si>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</si>
  <si>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</si>
  <si>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</si>
  <si>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</si>
  <si>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</si>
  <si>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</si>
  <si>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</si>
  <si>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</si>
  <si>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</si>
  <si>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</si>
  <si>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</si>
  <si>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</si>
  <si>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</si>
  <si>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</si>
  <si>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</si>
  <si>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</si>
  <si>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</si>
  <si>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</si>
  <si>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</si>
  <si>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</si>
  <si>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</si>
  <si>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</si>
  <si>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</si>
  <si>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</si>
  <si>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</si>
  <si>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</si>
  <si>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</si>
  <si>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</si>
  <si>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</si>
  <si>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</si>
  <si>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</si>
  <si>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</si>
  <si>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</si>
  <si>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</si>
  <si>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</si>
  <si>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</si>
  <si>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</si>
  <si>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</si>
  <si>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</si>
  <si>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</si>
  <si>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</si>
  <si>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</si>
  <si>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</si>
  <si>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</si>
  <si>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</si>
  <si>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</si>
  <si>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</si>
  <si>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</si>
  <si>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</si>
  <si>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</si>
  <si>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</si>
  <si>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</si>
  <si>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</si>
  <si>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</si>
  <si>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</si>
  <si>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</si>
  <si>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</si>
  <si>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</si>
  <si>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</si>
  <si>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</si>
  <si>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</si>
  <si>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</si>
  <si>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</si>
  <si>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</si>
  <si>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</si>
  <si>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</si>
  <si>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</si>
  <si>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</si>
  <si>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</si>
  <si>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</si>
  <si>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</si>
  <si>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</si>
  <si>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</si>
  <si>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</si>
  <si>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</si>
  <si>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</si>
  <si>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</si>
  <si>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</si>
  <si>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</si>
  <si>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</si>
  <si>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</si>
  <si>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</si>
  <si>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</si>
  <si>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</si>
  <si>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</si>
  <si>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</si>
  <si>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</si>
  <si>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</si>
  <si>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</si>
  <si>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</si>
  <si>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</si>
  <si>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</si>
  <si>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</si>
  <si>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</si>
  <si>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</si>
  <si>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</si>
  <si>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</si>
  <si>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</si>
  <si>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</si>
  <si>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</si>
  <si>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</si>
  <si>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</si>
  <si>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</si>
  <si>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</si>
  <si>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</si>
  <si>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</si>
  <si>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</si>
  <si>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</si>
  <si>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</si>
  <si>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</si>
  <si>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</si>
  <si>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</si>
  <si>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</si>
  <si>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</si>
  <si>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</si>
  <si>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</si>
  <si>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</si>
  <si>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</si>
  <si>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</si>
  <si>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</si>
  <si>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</si>
  <si>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</si>
  <si>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</si>
  <si>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</si>
  <si>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</si>
  <si>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</si>
  <si>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</si>
  <si>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</si>
  <si>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</si>
  <si>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</si>
  <si>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</si>
  <si>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</si>
  <si>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</si>
  <si>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</si>
  <si>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</si>
  <si>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</si>
  <si>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</si>
  <si>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</si>
  <si>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</si>
  <si>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</si>
  <si>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</si>
  <si>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</si>
  <si>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</si>
  <si>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</si>
  <si>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</si>
  <si>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</si>
  <si>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</si>
  <si>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</si>
  <si>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</si>
  <si>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</si>
  <si>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</si>
  <si>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</si>
  <si>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</si>
  <si>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</si>
  <si>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</si>
  <si>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</si>
  <si>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</si>
  <si>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</si>
  <si>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</si>
  <si>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</si>
  <si>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</si>
  <si>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</si>
  <si>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</si>
  <si>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</si>
  <si>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</si>
  <si>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</si>
  <si>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</si>
  <si>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</si>
  <si>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</si>
  <si>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</si>
  <si>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</si>
  <si>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</si>
  <si>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</si>
  <si>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</si>
  <si>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</si>
  <si>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</si>
  <si>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</si>
  <si>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</si>
  <si>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</si>
  <si>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</si>
  <si>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</si>
  <si>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</si>
  <si>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</si>
  <si>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</si>
  <si>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</si>
  <si>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</si>
  <si>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</si>
  <si>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</si>
  <si>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</si>
  <si>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</si>
  <si>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</si>
  <si>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</si>
  <si>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</si>
  <si>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</si>
  <si>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</si>
  <si>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</si>
  <si>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</si>
  <si>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</si>
  <si>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</si>
  <si>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</si>
  <si>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</si>
  <si>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</si>
  <si>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</si>
  <si>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</si>
  <si>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</si>
  <si>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</si>
  <si>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</si>
  <si>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</si>
  <si>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</si>
  <si>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</si>
  <si>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</si>
  <si>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</si>
  <si>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</si>
  <si>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</si>
  <si>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</si>
  <si>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</si>
  <si>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</si>
  <si>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</si>
  <si>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</si>
  <si>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</si>
  <si>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</si>
  <si>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</si>
  <si>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</si>
  <si>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</si>
  <si>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</si>
  <si>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</si>
  <si>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</si>
  <si>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</si>
  <si>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</si>
  <si>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</si>
  <si>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</si>
  <si>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</si>
  <si>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</si>
  <si>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</si>
  <si>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</si>
  <si>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</si>
  <si>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</si>
  <si>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</si>
  <si>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</si>
  <si>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</si>
  <si>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</si>
  <si>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</si>
  <si>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</si>
  <si>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</si>
  <si>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</si>
  <si>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</si>
  <si>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</si>
  <si>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</si>
  <si>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</si>
  <si>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</si>
  <si>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</si>
  <si>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</si>
  <si>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</si>
  <si>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</si>
  <si>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</si>
  <si>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</si>
  <si>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</si>
  <si>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</si>
  <si>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</si>
  <si>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</si>
  <si>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</si>
  <si>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</si>
  <si>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</si>
  <si>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</si>
  <si>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</si>
  <si>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</si>
  <si>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</si>
  <si>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</si>
  <si>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</si>
  <si>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</si>
  <si>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</si>
  <si>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</si>
  <si>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</si>
  <si>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</si>
  <si>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</si>
  <si>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</si>
  <si>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</si>
  <si>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</si>
  <si>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</si>
  <si>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</si>
  <si>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</si>
  <si>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</si>
  <si>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</si>
  <si>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</si>
  <si>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</si>
  <si>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</si>
  <si>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</si>
  <si>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</si>
  <si>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</si>
  <si>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</si>
  <si>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</si>
  <si>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</si>
  <si>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</si>
  <si>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</si>
  <si>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</si>
  <si>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</si>
  <si>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</si>
  <si>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</si>
  <si>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</si>
  <si>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</si>
  <si>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</si>
  <si>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</si>
  <si>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</si>
  <si>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</si>
  <si>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</si>
  <si>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</si>
  <si>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</si>
  <si>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</si>
  <si>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</si>
  <si>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</si>
  <si>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</si>
  <si>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</si>
  <si>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</si>
  <si>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</si>
  <si>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</si>
  <si>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</si>
  <si>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</si>
  <si>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</si>
  <si>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</si>
  <si>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</si>
  <si>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</si>
  <si>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</si>
  <si>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</si>
  <si>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</si>
  <si>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</si>
  <si>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</si>
  <si>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</si>
  <si>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</si>
  <si>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</si>
  <si>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</si>
  <si>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</si>
  <si>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</si>
  <si>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</si>
  <si>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</si>
  <si>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</si>
  <si>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</si>
  <si>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</si>
  <si>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</si>
  <si>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</si>
  <si>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</si>
  <si>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</si>
  <si>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</si>
  <si>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</si>
  <si>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</si>
  <si>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</si>
  <si>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</si>
  <si>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</si>
  <si>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</si>
  <si>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</si>
  <si>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</si>
  <si>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</si>
  <si>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</si>
  <si>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</si>
  <si>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</si>
  <si>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</si>
  <si>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</si>
  <si>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</si>
  <si>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</si>
  <si>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</si>
  <si>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</si>
  <si>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</si>
  <si>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</si>
  <si>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</si>
  <si>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</si>
  <si>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</si>
  <si>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</si>
  <si>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</si>
  <si>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</si>
  <si>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</si>
  <si>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</si>
  <si>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</si>
  <si>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</si>
  <si>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</si>
  <si>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</si>
  <si>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</si>
  <si>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</si>
  <si>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</si>
  <si>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</si>
  <si>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</si>
  <si>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</si>
  <si>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</si>
  <si>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</si>
  <si>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</si>
  <si>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</si>
  <si>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</si>
  <si>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</si>
  <si>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</si>
  <si>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</si>
  <si>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</si>
  <si>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</si>
  <si>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</si>
  <si>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</si>
  <si>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</si>
  <si>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</si>
  <si>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</si>
  <si>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</si>
  <si>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</si>
  <si>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</si>
  <si>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</si>
  <si>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</si>
  <si>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</si>
  <si>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</si>
  <si>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</si>
  <si>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</si>
  <si>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</si>
  <si>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</si>
  <si>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</si>
  <si>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</si>
  <si>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</si>
  <si>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</si>
  <si>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</si>
  <si>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</si>
  <si>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</si>
  <si>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</si>
  <si>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</si>
  <si>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</si>
  <si>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</si>
  <si>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</si>
  <si>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</si>
  <si>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</si>
  <si>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</si>
  <si>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</si>
  <si>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</si>
  <si>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</si>
  <si>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</si>
  <si>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</si>
  <si>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</si>
  <si>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</si>
  <si>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</si>
  <si>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</si>
  <si>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</si>
  <si>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</si>
  <si>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</si>
  <si>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</si>
  <si>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</si>
  <si>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</si>
  <si>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</si>
  <si>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</si>
  <si>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</si>
  <si>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</si>
  <si>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</si>
  <si>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</si>
  <si>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</si>
  <si>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</si>
  <si>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</si>
  <si>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</si>
  <si>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</si>
  <si>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</si>
  <si>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</si>
  <si>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</si>
  <si>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</si>
  <si>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</si>
  <si>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</si>
  <si>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</si>
  <si>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</si>
  <si>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</si>
  <si>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</si>
  <si>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</si>
  <si>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</si>
  <si>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</si>
  <si>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</si>
  <si>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</si>
  <si>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</si>
  <si>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</si>
  <si>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</si>
  <si>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</si>
  <si>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</si>
  <si>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</si>
  <si>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</si>
  <si>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</si>
  <si>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</si>
  <si>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</si>
  <si>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</si>
  <si>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</si>
  <si>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</si>
  <si>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</si>
  <si>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</si>
  <si>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</si>
  <si>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</si>
  <si>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</si>
  <si>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</si>
  <si>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</si>
  <si>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</si>
  <si>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</si>
  <si>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</si>
  <si>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</si>
  <si>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</si>
  <si>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</si>
  <si>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</si>
  <si>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</si>
  <si>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</si>
  <si>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</si>
  <si>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</si>
  <si>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</si>
  <si>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</si>
  <si>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</si>
  <si>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</si>
  <si>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</si>
  <si>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</si>
  <si>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</si>
  <si>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</si>
  <si>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</si>
  <si>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</si>
  <si>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</si>
  <si>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</si>
  <si>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</si>
  <si>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</si>
  <si>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</si>
  <si>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</si>
  <si>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</si>
  <si>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</si>
  <si>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</si>
  <si>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</si>
  <si>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</si>
  <si>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</si>
  <si>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</si>
  <si>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</si>
  <si>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</si>
  <si>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</si>
  <si>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</si>
  <si>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</si>
  <si>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</si>
  <si>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pepi</t>
  </si>
  <si>
    <t>pepiv</t>
  </si>
  <si>
    <t>peps</t>
  </si>
  <si>
    <t>pn</t>
  </si>
  <si>
    <t>potx</t>
  </si>
  <si>
    <t>potx1</t>
  </si>
  <si>
    <t>porn</t>
  </si>
  <si>
    <t>porn2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</si>
  <si>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</si>
  <si>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</si>
  <si>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</si>
  <si>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</si>
  <si>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</si>
  <si>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</si>
  <si>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</si>
  <si>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</si>
  <si>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</si>
  <si>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</si>
  <si>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</si>
  <si>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</si>
  <si>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</si>
  <si>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</si>
  <si>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</si>
  <si>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</si>
  <si>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</si>
  <si>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</si>
  <si>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</si>
  <si>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</si>
  <si>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</si>
  <si>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</si>
  <si>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</si>
  <si>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</si>
  <si>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</si>
  <si>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</si>
  <si>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</si>
  <si>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</si>
  <si>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</si>
  <si>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</si>
  <si>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</si>
  <si>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</si>
  <si>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</si>
  <si>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</si>
  <si>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</si>
  <si>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</si>
  <si>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</si>
  <si>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</si>
  <si>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</si>
  <si>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</si>
  <si>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</si>
  <si>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</si>
  <si>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</si>
  <si>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</si>
  <si>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</si>
  <si>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</si>
  <si>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</si>
  <si>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</si>
  <si>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</si>
  <si>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</si>
  <si>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</si>
  <si>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</si>
  <si>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</si>
  <si>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</si>
  <si>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</si>
  <si>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</si>
  <si>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</si>
  <si>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</si>
  <si>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</si>
  <si>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</si>
  <si>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</si>
  <si>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</si>
  <si>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</si>
  <si>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</si>
  <si>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</si>
  <si>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</si>
  <si>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</si>
  <si>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</si>
  <si>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</si>
  <si>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</si>
  <si>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</si>
  <si>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</si>
  <si>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</si>
  <si>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</si>
  <si>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</si>
  <si>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</si>
  <si>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</si>
  <si>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</si>
  <si>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</si>
  <si>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</si>
  <si>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</si>
  <si>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</si>
  <si>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</si>
  <si>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</si>
  <si>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</si>
  <si>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</si>
  <si>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</si>
  <si>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</si>
  <si>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</si>
  <si>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</si>
  <si>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</si>
  <si>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</si>
  <si>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</si>
  <si>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</si>
  <si>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</si>
  <si>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</si>
  <si>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</si>
  <si>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</si>
  <si>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</si>
  <si>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</si>
  <si>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</si>
  <si>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</si>
  <si>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</si>
  <si>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</si>
  <si>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</si>
  <si>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</si>
  <si>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</si>
  <si>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</si>
  <si>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</si>
  <si>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</si>
  <si>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</si>
  <si>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</si>
  <si>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</si>
  <si>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</si>
  <si>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</si>
  <si>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</si>
  <si>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</si>
  <si>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</si>
  <si>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</si>
  <si>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</si>
  <si>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</si>
  <si>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</si>
  <si>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</si>
  <si>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</si>
  <si>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</si>
  <si>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</si>
  <si>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</si>
  <si>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</si>
  <si>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</si>
  <si>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</si>
  <si>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</si>
  <si>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</si>
  <si>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</si>
  <si>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</si>
  <si>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</si>
  <si>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</si>
  <si>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</si>
  <si>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</si>
  <si>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</si>
  <si>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</si>
  <si>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</si>
  <si>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</si>
  <si>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</si>
  <si>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</si>
  <si>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</si>
  <si>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</si>
  <si>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</si>
  <si>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</si>
  <si>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</si>
  <si>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</si>
  <si>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</si>
  <si>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</si>
  <si>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</si>
  <si>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</si>
  <si>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</si>
  <si>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</si>
  <si>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</si>
  <si>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</si>
  <si>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</si>
  <si>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</si>
  <si>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</si>
  <si>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</si>
  <si>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</si>
  <si>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</si>
  <si>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</si>
  <si>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</si>
  <si>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</si>
  <si>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</si>
  <si>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</si>
  <si>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</si>
  <si>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</si>
  <si>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</si>
  <si>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</si>
  <si>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</si>
  <si>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</si>
  <si>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</si>
  <si>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</si>
  <si>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</si>
  <si>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</si>
  <si>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</si>
  <si>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</si>
  <si>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</si>
  <si>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</si>
  <si>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</si>
  <si>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</si>
  <si>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</si>
  <si>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</si>
  <si>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</si>
  <si>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</si>
  <si>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</si>
  <si>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</si>
  <si>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</si>
  <si>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</si>
  <si>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</si>
  <si>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</si>
  <si>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</si>
  <si>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</si>
  <si>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</si>
  <si>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</si>
  <si>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</si>
  <si>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</si>
  <si>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</si>
  <si>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</si>
  <si>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</si>
  <si>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</si>
  <si>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</si>
  <si>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</si>
  <si>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</si>
  <si>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</si>
  <si>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</si>
  <si>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</si>
  <si>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</si>
  <si>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</si>
  <si>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</si>
  <si>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</si>
  <si>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</si>
  <si>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</si>
  <si>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</si>
  <si>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</si>
  <si>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</si>
  <si>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</si>
  <si>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</si>
  <si>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</si>
  <si>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</si>
  <si>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</si>
  <si>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</si>
  <si>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</si>
  <si>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</si>
  <si>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</si>
  <si>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</si>
  <si>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255,000,000</t>
  </si>
  <si>
    <t>000,000,255</t>
  </si>
  <si>
    <t>255,255,000</t>
  </si>
  <si>
    <t>000,000,000</t>
  </si>
  <si>
    <t>Front Sales Quote Head (fsqh)</t>
  </si>
  <si>
    <t>Titlepage Publisher Name (pub)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</si>
  <si>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</si>
  <si>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</si>
  <si>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</si>
  <si>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</si>
  <si>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</si>
  <si>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</si>
  <si>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</si>
  <si>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li</t>
  </si>
  <si>
    <t>ol</t>
  </si>
  <si>
    <t>blockquote</t>
  </si>
  <si>
    <t>aside</t>
  </si>
  <si>
    <t>sidebar</t>
  </si>
  <si>
    <t>box</t>
  </si>
  <si>
    <t>figure</t>
  </si>
  <si>
    <t>epigraph</t>
  </si>
  <si>
    <t>span</t>
  </si>
  <si>
    <t>img</t>
  </si>
  <si>
    <t>poetry</t>
  </si>
  <si>
    <t>strong em</t>
  </si>
  <si>
    <t>strong</t>
  </si>
  <si>
    <t>em</t>
  </si>
  <si>
    <t>strong span</t>
  </si>
  <si>
    <t>em span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</si>
  <si>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</si>
  <si>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</si>
  <si>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</si>
  <si>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</si>
  <si>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</si>
  <si>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</si>
  <si>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</si>
  <si>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</si>
  <si>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</si>
  <si>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</si>
  <si>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</si>
  <si>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</si>
  <si>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</si>
  <si>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</si>
  <si>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</si>
  <si>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</si>
  <si>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</si>
  <si>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</si>
  <si>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</si>
  <si>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</si>
  <si>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</si>
  <si>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contents</t>
  </si>
  <si>
    <t>blank</t>
  </si>
  <si>
    <t>notes</t>
  </si>
  <si>
    <t>excerptopener</t>
  </si>
  <si>
    <t>excerptchapter</t>
  </si>
  <si>
    <t>abouttheauthor</t>
  </si>
  <si>
    <t>bobad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</si>
  <si>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</si>
  <si>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</si>
  <si>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</si>
  <si>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</si>
  <si>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</si>
  <si>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</si>
  <si>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</si>
  <si>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</si>
  <si>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</si>
  <si>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</si>
  <si>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</si>
  <si>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</si>
  <si>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</si>
  <si>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</si>
  <si>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</si>
  <si>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</si>
  <si>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html.toplevelheads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</si>
  <si>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</si>
  <si>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</si>
  <si>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</si>
  <si>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</si>
  <si>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</si>
  <si>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</si>
  <si>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</si>
  <si>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</si>
  <si>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</si>
  <si>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</si>
  <si>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</si>
  <si>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</si>
  <si>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</si>
  <si>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</si>
  <si>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</si>
  <si>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</si>
  <si>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</si>
  <si>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</si>
  <si>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</si>
  <si>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</si>
  <si>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no_export.sectionclass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</si>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</sst>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14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0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7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9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11" fillId="21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5" fillId="49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5" fillId="48" borderId="0" xfId="0" applyNumberFormat="1" applyFont="1" applyFill="1" applyProtection="1">
      <protection locked="0"/>
    </xf>
    <xf numFmtId="49" fontId="7" fillId="23" borderId="0" xfId="0" applyNumberFormat="1" applyFont="1" applyFill="1" applyProtection="1">
      <protection locked="0"/>
    </xf>
    <xf numFmtId="49" fontId="12" fillId="36" borderId="0" xfId="0" applyNumberFormat="1" applyFont="1" applyFill="1" applyProtection="1">
      <protection locked="0"/>
    </xf>
    <xf numFmtId="49" fontId="1" fillId="24" borderId="0" xfId="0" applyNumberFormat="1" applyFont="1" applyFill="1" applyProtection="1">
      <protection locked="0"/>
    </xf>
    <xf numFmtId="49" fontId="1" fillId="37" borderId="0" xfId="0" applyNumberFormat="1" applyFont="1" applyFill="1" applyProtection="1">
      <protection locked="0"/>
    </xf>
    <xf numFmtId="49" fontId="11" fillId="25" borderId="0" xfId="0" applyNumberFormat="1" applyFont="1" applyFill="1" applyProtection="1">
      <protection locked="0"/>
    </xf>
    <xf numFmtId="49" fontId="7" fillId="46" borderId="0" xfId="0" applyNumberFormat="1" applyFont="1" applyFill="1" applyProtection="1">
      <protection locked="0"/>
    </xf>
    <xf numFmtId="49" fontId="5" fillId="26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11" fillId="40" borderId="0" xfId="0" applyNumberFormat="1" applyFont="1" applyFill="1" applyProtection="1">
      <protection locked="0"/>
    </xf>
    <xf numFmtId="49" fontId="8" fillId="42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10" fillId="45" borderId="0" xfId="0" applyNumberFormat="1" applyFont="1" applyFill="1" applyProtection="1">
      <protection locked="0"/>
    </xf>
    <xf numFmtId="49" fontId="5" fillId="44" borderId="0" xfId="0" applyNumberFormat="1" applyFont="1" applyFill="1" applyProtection="1">
      <protection locked="0"/>
    </xf>
    <xf numFmtId="49" fontId="12" fillId="28" borderId="0" xfId="0" applyNumberFormat="1" applyFont="1" applyFill="1" applyProtection="1">
      <protection locked="0"/>
    </xf>
    <xf numFmtId="49" fontId="5" fillId="29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11" fillId="38" borderId="0" xfId="0" applyNumberFormat="1" applyFont="1" applyFill="1" applyProtection="1">
      <protection locked="0"/>
    </xf>
    <xf numFmtId="49" fontId="8" fillId="61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6" fillId="60" borderId="0" xfId="0" applyNumberFormat="1" applyFont="1" applyFill="1" applyProtection="1">
      <protection locked="0"/>
    </xf>
    <xf numFmtId="49" fontId="6" fillId="3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8" fillId="5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2" borderId="0" xfId="0" applyNumberFormat="1" applyFont="1" applyFill="1" applyProtection="1">
      <protection locked="0"/>
    </xf>
    <xf numFmtId="49" fontId="12" fillId="33" borderId="0" xfId="0" applyNumberFormat="1" applyFont="1" applyFill="1" applyProtection="1">
      <protection locked="0"/>
    </xf>
    <xf numFmtId="49" fontId="1" fillId="41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0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6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7" borderId="1" xfId="0" applyFill="1" applyBorder="1" applyAlignment="1" applyProtection="1">
      <alignment vertical="center" wrapText="1"/>
    </xf>
    <xf numFmtId="49" fontId="0" fillId="0" borderId="0" xfId="0" applyNumberFormat="1" applyFill="1" applyProtection="1"/>
    <xf numFmtId="0" fontId="17" fillId="4" borderId="7" xfId="0" applyFont="1" applyFill="1" applyBorder="1" applyProtection="1"/>
    <xf numFmtId="49" fontId="17" fillId="4" borderId="7" xfId="0" applyNumberFormat="1" applyFont="1" applyFill="1" applyBorder="1" applyProtection="1"/>
    <xf numFmtId="0" fontId="17" fillId="4" borderId="7" xfId="0" applyFont="1" applyFill="1" applyBorder="1" applyAlignment="1" applyProtection="1">
      <alignment horizontal="center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5" borderId="6" xfId="0" applyFont="1" applyFill="1" applyBorder="1" applyAlignment="1" applyProtection="1">
      <alignment horizontal="center" vertical="center"/>
    </xf>
    <xf numFmtId="0" fontId="0" fillId="35" borderId="2" xfId="0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</cellXfs>
  <cellStyles count="3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95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Table2" displayName="Table2" ref="A3:CM510" totalsRowShown="0" headerRowDxfId="94" dataDxfId="92" headerRowBorderDxfId="93" tableBorderDxfId="91">
  <autoFilter ref="A3:CM510"/>
  <tableColumns count="91">
    <tableColumn id="1" name="Full Style Name" dataDxfId="90">
      <calculatedColumnFormula>IF($D4="","",TRIM($C4)&amp;" "&amp;CHAR(40)&amp;TRIM($D4)&amp;CHAR(41))</calculatedColumnFormula>
    </tableColumn>
    <tableColumn id="2" name="Usage_Notes" dataDxfId="89"/>
    <tableColumn id="3" name="Style_Name" dataDxfId="88"/>
    <tableColumn id="4" name="Style_Code" dataDxfId="87"/>
    <tableColumn id="5" name="NextParagraphStyle" dataDxfId="86"/>
    <tableColumn id="6" name="Priority" dataDxfId="85"/>
    <tableColumn id="7" name="QuickStyle" dataDxfId="84"/>
    <tableColumn id="8" name="Type" dataDxfId="83"/>
    <tableColumn id="9" name="Font.name" dataDxfId="82"/>
    <tableColumn id="10" name="Font.Size" dataDxfId="81"/>
    <tableColumn id="11" name="Font.Italic" dataDxfId="80"/>
    <tableColumn id="12" name="Font.Bold" dataDxfId="79"/>
    <tableColumn id="13" name="Font.TextColor" dataDxfId="78"/>
    <tableColumn id="14" name="Font.Underline" dataDxfId="77"/>
    <tableColumn id="15" name="Font.SmallCaps" dataDxfId="76"/>
    <tableColumn id="16" name="Font.Superscript" dataDxfId="75"/>
    <tableColumn id="17" name="Font.Subscript" dataDxfId="74"/>
    <tableColumn id="18" name="Font.StrikeThrough" dataDxfId="73"/>
    <tableColumn id="19" name="shortcut_keys_enabled_tf" dataDxfId="72"/>
    <tableColumn id="20" name="shortcut_keys__shift_tf" dataDxfId="71"/>
    <tableColumn id="21" name="shortcut_keys__control_tf" dataDxfId="70"/>
    <tableColumn id="22" name="shortcut_keys__alt_tf" dataDxfId="69"/>
    <tableColumn id="23" name="shortcut_keys__letter" dataDxfId="68"/>
    <tableColumn id="24" name="NoSpaceBetweenParagraphsOfSameStyle" dataDxfId="67"/>
    <tableColumn id="25" name="Bullet" dataDxfId="66"/>
    <tableColumn id="26" name="Checklist" dataDxfId="65"/>
    <tableColumn id="27" name="ParagraphFormat.LeftIndent" dataDxfId="64"/>
    <tableColumn id="28" name="ParagraphFormat.RightIndent" dataDxfId="63"/>
    <tableColumn id="29" name="ParagraphFormat.SpaceBefore" dataDxfId="62"/>
    <tableColumn id="30" name="ParagraphFormat.SpaceAfter" dataDxfId="61"/>
    <tableColumn id="31" name="ParagraphFormat.LineSpacingRule" dataDxfId="60"/>
    <tableColumn id="32" name="ParagraphFormat.LineSpacing" dataDxfId="59"/>
    <tableColumn id="33" name="ParagraphFormat.Alignment" dataDxfId="58"/>
    <tableColumn id="34" name="ParagraphFormat.FirstLineIndent" dataDxfId="57"/>
    <tableColumn id="35" name="ParagraphFormat.OutlineLevel" dataDxfId="56"/>
    <tableColumn id="36" name="ParagraphFormat.PageBreakBefore" dataDxfId="55"/>
    <tableColumn id="37" name="ParagraphFormat.WidowControl" dataDxfId="54"/>
    <tableColumn id="38" name="Borders(-1)" dataDxfId="53"/>
    <tableColumn id="39" name="Borders(-1).Color" dataDxfId="52"/>
    <tableColumn id="40" name="Borders(-1).LineStyle" dataDxfId="51"/>
    <tableColumn id="41" name="Borders(-1).LineWidth" dataDxfId="50"/>
    <tableColumn id="42" name="Borders(-2)" dataDxfId="49"/>
    <tableColumn id="43" name="Borders(-2).Color" dataDxfId="48"/>
    <tableColumn id="44" name="Borders(-2).LineStyle" dataDxfId="47"/>
    <tableColumn id="45" name="Borders(-2).LineWidth" dataDxfId="46"/>
    <tableColumn id="46" name="Borders(-3)" dataDxfId="45"/>
    <tableColumn id="47" name="Borders(-3).Color" dataDxfId="44"/>
    <tableColumn id="48" name="Borders(-3).LineStyle" dataDxfId="43"/>
    <tableColumn id="49" name="Borders(-3).LineWidth" dataDxfId="42"/>
    <tableColumn id="50" name="Borders(-4)" dataDxfId="41"/>
    <tableColumn id="51" name="Borders(-4).Color" dataDxfId="40"/>
    <tableColumn id="52" name="Borders(-4).LineStyle" dataDxfId="39"/>
    <tableColumn id="53" name="Borders(-4).LineWidth" dataDxfId="38"/>
    <tableColumn id="54" name="Borders.DistanceFromLeft" dataDxfId="37"/>
    <tableColumn id="55" name="Borders.DistanceFromRight" dataDxfId="36"/>
    <tableColumn id="56" name="Borders.DistanceFromTop" dataDxfId="35"/>
    <tableColumn id="57" name="Borders.DistanceFromBottom" dataDxfId="34"/>
    <tableColumn id="58" name="ParagraphFormat.Shading.BackgroundPatternColor" dataDxfId="33"/>
    <tableColumn id="59" name="Font.Borders(1).Color" dataDxfId="32"/>
    <tableColumn id="60" name="Font.Borders(1).LineStyle" dataDxfId="31"/>
    <tableColumn id="61" name="Font.Borders(1).LineWidth" dataDxfId="30"/>
    <tableColumn id="62" name="Font.Shading.BackgroundPatternColor" dataDxfId="29"/>
    <tableColumn id="63" name="BaseStyle" dataDxfId="28"/>
    <tableColumn id="64" name="ListLevelNumber" dataDxfId="27"/>
    <tableColumn id="65" name="NoProofing" dataDxfId="26"/>
    <tableColumn id="66" name="no_export.tag" dataDxfId="25"/>
    <tableColumn id="67" name="no_export.requiredparent" dataDxfId="24"/>
    <tableColumn id="68" name="no_export.toplevelparent" dataDxfId="23"/>
    <tableColumn id="69" name="no_export.parentdatatype" dataDxfId="22"/>
    <tableColumn id="70" name="no_export.parent" dataDxfId="21"/>
    <tableColumn id="71" name="html.partheads" dataDxfId="20"/>
    <tableColumn id="72" name="html.headingparas" dataDxfId="19"/>
    <tableColumn id="73" name="html.extractparas" dataDxfId="18"/>
    <tableColumn id="74" name="html.epigraphparas" dataDxfId="17"/>
    <tableColumn id="75" name="html.poetryparas" dataDxfId="16"/>
    <tableColumn id="76" name="html.boxparas" dataDxfId="15"/>
    <tableColumn id="77" name="html.sidebarparas" dataDxfId="14"/>
    <tableColumn id="78" name="html.illustrationparas" dataDxfId="13"/>
    <tableColumn id="79" name="html.imageholders" dataDxfId="12"/>
    <tableColumn id="80" name="html.captionparas" dataDxfId="11"/>
    <tableColumn id="81" name="html.illustrationsrcparas" dataDxfId="10"/>
    <tableColumn id="82" name="html.unorderedlistparas" dataDxfId="9"/>
    <tableColumn id="83" name="html.orderedlistparas" dataDxfId="8"/>
    <tableColumn id="84" name="html.unorderedsublistparas" dataDxfId="7"/>
    <tableColumn id="85" name="html.orderedsublistparas" dataDxfId="6"/>
    <tableColumn id="86" name="html.omitparas" dataDxfId="5"/>
    <tableColumn id="87" name="html.versatileblockparas" dataDxfId="4"/>
    <tableColumn id="88" name="html.toplevelheads" dataDxfId="3"/>
    <tableColumn id="89" name="no_export.sectionclass" dataDxfId="2"/>
    <tableColumn id="90" name="no_export.class" dataDxfId="1">
      <calculatedColumnFormula>SUBSTITUTE(SUBSTITUTE(SUBSTITUTE(SUBSTITUTE(A4, "(",""),")","")," ",""),"#","")</calculatedColumnFormula>
    </tableColumn>
    <tableColumn id="91" name="no_export.note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21" Type="http://schemas.openxmlformats.org/officeDocument/2006/relationships/hyperlink" Target="https://confluence.macmillan.com/display/PBL/Word+Template+Styles+List" TargetMode="External"/><Relationship Id="rId22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1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3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15" Type="http://schemas.openxmlformats.org/officeDocument/2006/relationships/hyperlink" Target="http://www.rapidtables.com/web/color/RGB_Color.htm" TargetMode="External"/><Relationship Id="rId16" Type="http://schemas.openxmlformats.org/officeDocument/2006/relationships/hyperlink" Target="http://www.rapidtables.com/web/color/RGB_Color.htm" TargetMode="External"/><Relationship Id="rId17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19" Type="http://schemas.openxmlformats.org/officeDocument/2006/relationships/hyperlink" Target="http://www.rapidtables.com/web/color/RGB_Color.htm" TargetMode="External"/><Relationship Id="rId1" Type="http://schemas.openxmlformats.org/officeDocument/2006/relationships/hyperlink" Target="https://msdn.microsoft.com/en-us/library/office/ff844910.aspx" TargetMode="External"/><Relationship Id="rId2" Type="http://schemas.openxmlformats.org/officeDocument/2006/relationships/hyperlink" Target="https://msdn.microsoft.com/en-us/library/office/ff835817.aspx" TargetMode="External"/><Relationship Id="rId3" Type="http://schemas.openxmlformats.org/officeDocument/2006/relationships/hyperlink" Target="https://msdn.microsoft.com/en-us/library/office/ff193702.aspx" TargetMode="External"/><Relationship Id="rId4" Type="http://schemas.openxmlformats.org/officeDocument/2006/relationships/hyperlink" Target="https://msdn.microsoft.com/en-us/library/office/ff193702.aspx" TargetMode="External"/><Relationship Id="rId5" Type="http://schemas.openxmlformats.org/officeDocument/2006/relationships/hyperlink" Target="https://msdn.microsoft.com/en-us/library/office/ff193702.aspx" TargetMode="External"/><Relationship Id="rId6" Type="http://schemas.openxmlformats.org/officeDocument/2006/relationships/hyperlink" Target="https://msdn.microsoft.com/en-us/library/office/ff193702.aspx" TargetMode="External"/><Relationship Id="rId7" Type="http://schemas.openxmlformats.org/officeDocument/2006/relationships/hyperlink" Target="https://msdn.microsoft.com/en-us/library/office/ff836368.aspx" TargetMode="External"/><Relationship Id="rId8" Type="http://schemas.openxmlformats.org/officeDocument/2006/relationships/hyperlink" Target="https://msdn.microsoft.com/en-us/library/office/ff193702.asp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M548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/>
    </sheetView>
  </sheetViews>
  <sheetFormatPr baseColWidth="10" defaultColWidth="10.83203125" defaultRowHeight="15" x14ac:dyDescent="0"/>
  <cols>
    <col min="1" max="1" width="42.33203125" style="77" bestFit="1" customWidth="1"/>
    <col min="2" max="2" width="28.83203125" style="8" customWidth="1"/>
    <col min="3" max="3" width="32.5" style="8" customWidth="1"/>
    <col min="4" max="4" width="13.83203125" style="8" customWidth="1"/>
    <col min="5" max="5" width="32.5" style="8" customWidth="1"/>
    <col min="6" max="6" width="16.5" style="8" customWidth="1"/>
    <col min="7" max="7" width="17.1640625" style="8" bestFit="1" customWidth="1"/>
    <col min="8" max="8" width="10.33203125" style="8" customWidth="1"/>
    <col min="9" max="9" width="16.33203125" style="8" bestFit="1" customWidth="1"/>
    <col min="10" max="10" width="11.83203125" style="8" customWidth="1"/>
    <col min="11" max="11" width="12.6640625" style="8" customWidth="1"/>
    <col min="12" max="12" width="12.5" style="8" customWidth="1"/>
    <col min="13" max="13" width="17.6640625" style="60" bestFit="1" customWidth="1"/>
    <col min="14" max="14" width="17.33203125" style="8" customWidth="1"/>
    <col min="15" max="15" width="17.5" style="8" customWidth="1"/>
    <col min="16" max="16" width="18.5" style="8" customWidth="1"/>
    <col min="17" max="17" width="16.6640625" style="8" customWidth="1"/>
    <col min="18" max="18" width="21" style="8" customWidth="1"/>
    <col min="19" max="19" width="27.1640625" style="8" customWidth="1"/>
    <col min="20" max="20" width="25" style="8" customWidth="1"/>
    <col min="21" max="21" width="27.5" style="8" customWidth="1"/>
    <col min="22" max="22" width="23.33203125" style="8" customWidth="1"/>
    <col min="23" max="23" width="23.5" style="71" customWidth="1"/>
    <col min="24" max="24" width="41.1640625" style="8" customWidth="1"/>
    <col min="25" max="25" width="9" style="8" customWidth="1"/>
    <col min="26" max="26" width="11.6640625" style="8" customWidth="1"/>
    <col min="27" max="27" width="29.33203125" style="8" customWidth="1"/>
    <col min="28" max="28" width="30.6640625" style="8" customWidth="1"/>
    <col min="29" max="29" width="31.33203125" style="8" customWidth="1"/>
    <col min="30" max="30" width="29.83203125" style="8" customWidth="1"/>
    <col min="31" max="31" width="34.6640625" style="8" customWidth="1"/>
    <col min="32" max="32" width="30.6640625" style="8" customWidth="1"/>
    <col min="33" max="33" width="29.33203125" style="8" customWidth="1"/>
    <col min="34" max="34" width="33.5" style="8" customWidth="1"/>
    <col min="35" max="35" width="31.33203125" style="8" customWidth="1"/>
    <col min="36" max="36" width="35.5" style="8" customWidth="1"/>
    <col min="37" max="37" width="33.1640625" style="8" customWidth="1"/>
    <col min="38" max="38" width="15.5" style="8" customWidth="1"/>
    <col min="39" max="39" width="19.1640625" style="60" customWidth="1"/>
    <col min="40" max="40" width="22.5" style="8" customWidth="1"/>
    <col min="41" max="41" width="23.6640625" style="8" customWidth="1"/>
    <col min="42" max="42" width="13.83203125" style="8" customWidth="1"/>
    <col min="43" max="43" width="20" style="60" customWidth="1"/>
    <col min="44" max="44" width="22.5" style="8" customWidth="1"/>
    <col min="45" max="45" width="23.6640625" style="8" customWidth="1"/>
    <col min="46" max="46" width="13.83203125" style="8" customWidth="1"/>
    <col min="47" max="47" width="19.1640625" style="60" customWidth="1"/>
    <col min="48" max="48" width="22.5" style="8" customWidth="1"/>
    <col min="49" max="49" width="23.6640625" style="8" customWidth="1"/>
    <col min="50" max="50" width="13.83203125" style="8" customWidth="1"/>
    <col min="51" max="51" width="19.1640625" style="60" customWidth="1"/>
    <col min="52" max="52" width="22.5" style="8" customWidth="1"/>
    <col min="53" max="53" width="23.6640625" style="8" customWidth="1"/>
    <col min="54" max="54" width="27.1640625" style="8" customWidth="1"/>
    <col min="55" max="55" width="28.5" style="8" customWidth="1"/>
    <col min="56" max="56" width="27.1640625" style="8" customWidth="1"/>
    <col min="57" max="57" width="30.5" style="8" customWidth="1"/>
    <col min="58" max="58" width="49.83203125" style="60" customWidth="1"/>
    <col min="59" max="59" width="27.1640625" style="60" bestFit="1" customWidth="1"/>
    <col min="60" max="60" width="26.5" style="8" customWidth="1"/>
    <col min="61" max="61" width="27.6640625" style="8" customWidth="1"/>
    <col min="62" max="62" width="38.1640625" style="60" customWidth="1"/>
    <col min="63" max="63" width="18" style="8" customWidth="1"/>
    <col min="64" max="64" width="18.83203125" style="8" customWidth="1"/>
    <col min="65" max="65" width="14" style="8" customWidth="1"/>
    <col min="66" max="66" width="16.5" style="8" customWidth="1"/>
    <col min="67" max="67" width="27.33203125" style="8" customWidth="1"/>
    <col min="68" max="68" width="27" style="8" customWidth="1"/>
    <col min="69" max="69" width="27.6640625" style="8" customWidth="1"/>
    <col min="70" max="70" width="19.6640625" style="8" customWidth="1"/>
    <col min="71" max="71" width="17.6640625" style="8" customWidth="1"/>
    <col min="72" max="72" width="20.6640625" style="8" customWidth="1"/>
    <col min="73" max="73" width="19.83203125" style="8" customWidth="1"/>
    <col min="74" max="74" width="21.5" style="8" customWidth="1"/>
    <col min="75" max="75" width="19.33203125" style="8" customWidth="1"/>
    <col min="76" max="76" width="16.83203125" style="8" customWidth="1"/>
    <col min="77" max="77" width="20.1640625" style="8" customWidth="1"/>
    <col min="78" max="78" width="23.33203125" style="8" customWidth="1"/>
    <col min="79" max="79" width="20.6640625" style="8" customWidth="1"/>
    <col min="80" max="80" width="20.1640625" style="8" customWidth="1"/>
    <col min="81" max="81" width="25.83203125" style="8" customWidth="1"/>
    <col min="82" max="82" width="25.6640625" style="8" customWidth="1"/>
    <col min="83" max="83" width="23.33203125" style="8" customWidth="1"/>
    <col min="84" max="84" width="28.83203125" style="8" customWidth="1"/>
    <col min="85" max="85" width="26.5" style="8" customWidth="1"/>
    <col min="86" max="86" width="17.6640625" style="8" customWidth="1"/>
    <col min="87" max="87" width="26" style="8" customWidth="1"/>
    <col min="88" max="88" width="21.1640625" style="8" customWidth="1"/>
    <col min="89" max="89" width="24.33203125" style="8" customWidth="1"/>
    <col min="90" max="90" width="34.1640625" style="8" customWidth="1"/>
    <col min="91" max="91" width="21.1640625" style="8" customWidth="1"/>
    <col min="92" max="16384" width="10.83203125" style="8"/>
  </cols>
  <sheetData>
    <row r="1" spans="1:91" s="3" customFormat="1" ht="27" customHeight="1">
      <c r="A1" s="61" t="s">
        <v>346</v>
      </c>
      <c r="B1" s="85" t="s">
        <v>339</v>
      </c>
      <c r="C1" s="95"/>
      <c r="D1" s="96"/>
      <c r="E1" s="97" t="s">
        <v>340</v>
      </c>
      <c r="F1" s="97"/>
      <c r="G1" s="97"/>
      <c r="H1" s="97"/>
      <c r="I1" s="98" t="s">
        <v>341</v>
      </c>
      <c r="J1" s="99"/>
      <c r="K1" s="99"/>
      <c r="L1" s="99"/>
      <c r="M1" s="99"/>
      <c r="N1" s="99"/>
      <c r="O1" s="99"/>
      <c r="P1" s="99"/>
      <c r="Q1" s="99"/>
      <c r="R1" s="100"/>
      <c r="S1" s="101" t="s">
        <v>342</v>
      </c>
      <c r="T1" s="101"/>
      <c r="U1" s="101"/>
      <c r="V1" s="101"/>
      <c r="W1" s="101"/>
      <c r="X1" s="102" t="s">
        <v>343</v>
      </c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4"/>
      <c r="AL1" s="62" t="s">
        <v>344</v>
      </c>
      <c r="AM1" s="63"/>
      <c r="AN1" s="62"/>
      <c r="AO1" s="62"/>
      <c r="AP1" s="62"/>
      <c r="AQ1" s="63"/>
      <c r="AR1" s="62"/>
      <c r="AS1" s="62"/>
      <c r="AT1" s="62"/>
      <c r="AU1" s="63"/>
      <c r="AV1" s="62"/>
      <c r="AW1" s="62"/>
      <c r="AX1" s="62"/>
      <c r="AY1" s="63"/>
      <c r="AZ1" s="62"/>
      <c r="BA1" s="62"/>
      <c r="BB1" s="62"/>
      <c r="BC1" s="62"/>
      <c r="BD1" s="62"/>
      <c r="BE1" s="62"/>
      <c r="BF1" s="64"/>
      <c r="BG1" s="88" t="s">
        <v>345</v>
      </c>
      <c r="BH1" s="89"/>
      <c r="BI1" s="89"/>
      <c r="BJ1" s="90"/>
      <c r="BK1" s="91" t="s">
        <v>351</v>
      </c>
      <c r="BL1" s="92"/>
      <c r="BM1" s="92"/>
      <c r="BN1" s="85" t="s">
        <v>1546</v>
      </c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7"/>
    </row>
    <row r="2" spans="1:91" s="4" customFormat="1" ht="90">
      <c r="A2" s="74" t="s">
        <v>943</v>
      </c>
      <c r="B2" s="73" t="s">
        <v>946</v>
      </c>
      <c r="C2" s="105" t="s">
        <v>945</v>
      </c>
      <c r="D2" s="106"/>
      <c r="E2" s="66" t="s">
        <v>384</v>
      </c>
      <c r="F2" s="74" t="s">
        <v>948</v>
      </c>
      <c r="G2" s="74" t="s">
        <v>947</v>
      </c>
      <c r="H2" s="66" t="s">
        <v>352</v>
      </c>
      <c r="I2" s="74"/>
      <c r="J2" s="66" t="s">
        <v>353</v>
      </c>
      <c r="K2" s="66" t="s">
        <v>59</v>
      </c>
      <c r="L2" s="66" t="s">
        <v>59</v>
      </c>
      <c r="M2" s="67" t="s">
        <v>385</v>
      </c>
      <c r="N2" s="66" t="s">
        <v>59</v>
      </c>
      <c r="O2" s="66" t="s">
        <v>59</v>
      </c>
      <c r="P2" s="66" t="s">
        <v>59</v>
      </c>
      <c r="Q2" s="66" t="s">
        <v>59</v>
      </c>
      <c r="R2" s="66" t="s">
        <v>59</v>
      </c>
      <c r="S2" s="93" t="s">
        <v>489</v>
      </c>
      <c r="T2" s="93"/>
      <c r="U2" s="93"/>
      <c r="V2" s="93"/>
      <c r="W2" s="94"/>
      <c r="X2" s="66" t="s">
        <v>59</v>
      </c>
      <c r="Y2" s="66" t="s">
        <v>59</v>
      </c>
      <c r="Z2" s="66" t="s">
        <v>59</v>
      </c>
      <c r="AA2" s="66" t="s">
        <v>60</v>
      </c>
      <c r="AB2" s="66" t="s">
        <v>60</v>
      </c>
      <c r="AC2" s="66" t="s">
        <v>60</v>
      </c>
      <c r="AD2" s="66" t="s">
        <v>60</v>
      </c>
      <c r="AE2" s="65" t="s">
        <v>357</v>
      </c>
      <c r="AF2" s="66" t="s">
        <v>60</v>
      </c>
      <c r="AG2" s="65" t="s">
        <v>355</v>
      </c>
      <c r="AH2" s="66" t="s">
        <v>60</v>
      </c>
      <c r="AI2" s="66" t="s">
        <v>356</v>
      </c>
      <c r="AJ2" s="66" t="s">
        <v>59</v>
      </c>
      <c r="AK2" s="66" t="s">
        <v>59</v>
      </c>
      <c r="AL2" s="66" t="s">
        <v>64</v>
      </c>
      <c r="AM2" s="67" t="s">
        <v>385</v>
      </c>
      <c r="AN2" s="65" t="s">
        <v>354</v>
      </c>
      <c r="AO2" s="65" t="s">
        <v>63</v>
      </c>
      <c r="AP2" s="66" t="s">
        <v>59</v>
      </c>
      <c r="AQ2" s="67" t="s">
        <v>385</v>
      </c>
      <c r="AR2" s="66" t="s">
        <v>65</v>
      </c>
      <c r="AS2" s="65" t="s">
        <v>63</v>
      </c>
      <c r="AT2" s="68" t="s">
        <v>66</v>
      </c>
      <c r="AU2" s="67" t="s">
        <v>385</v>
      </c>
      <c r="AV2" s="65" t="s">
        <v>354</v>
      </c>
      <c r="AW2" s="65" t="s">
        <v>63</v>
      </c>
      <c r="AX2" s="68" t="s">
        <v>67</v>
      </c>
      <c r="AY2" s="67" t="s">
        <v>385</v>
      </c>
      <c r="AZ2" s="65" t="s">
        <v>354</v>
      </c>
      <c r="BA2" s="65" t="s">
        <v>63</v>
      </c>
      <c r="BB2" s="66" t="s">
        <v>347</v>
      </c>
      <c r="BC2" s="66" t="s">
        <v>348</v>
      </c>
      <c r="BD2" s="66" t="s">
        <v>349</v>
      </c>
      <c r="BE2" s="66" t="s">
        <v>350</v>
      </c>
      <c r="BF2" s="67" t="s">
        <v>386</v>
      </c>
      <c r="BG2" s="67" t="s">
        <v>385</v>
      </c>
      <c r="BH2" s="65" t="s">
        <v>354</v>
      </c>
      <c r="BI2" s="65" t="s">
        <v>63</v>
      </c>
      <c r="BJ2" s="67" t="s">
        <v>385</v>
      </c>
      <c r="BK2" s="66" t="s">
        <v>58</v>
      </c>
      <c r="BL2" s="66" t="s">
        <v>62</v>
      </c>
      <c r="BM2" s="66" t="s">
        <v>61</v>
      </c>
      <c r="BN2" s="80" t="s">
        <v>1462</v>
      </c>
      <c r="BO2" s="80" t="s">
        <v>1463</v>
      </c>
      <c r="BP2" s="80" t="s">
        <v>1464</v>
      </c>
      <c r="BQ2" s="80" t="s">
        <v>1465</v>
      </c>
      <c r="BR2" s="80" t="s">
        <v>1466</v>
      </c>
      <c r="BS2" s="80" t="s">
        <v>1530</v>
      </c>
      <c r="BT2" s="80" t="s">
        <v>1531</v>
      </c>
      <c r="BU2" s="80" t="s">
        <v>1532</v>
      </c>
      <c r="BV2" s="80" t="s">
        <v>1533</v>
      </c>
      <c r="BW2" s="80" t="s">
        <v>1534</v>
      </c>
      <c r="BX2" s="80" t="s">
        <v>1535</v>
      </c>
      <c r="BY2" s="80" t="s">
        <v>1536</v>
      </c>
      <c r="BZ2" s="80" t="s">
        <v>1537</v>
      </c>
      <c r="CA2" s="80" t="s">
        <v>1538</v>
      </c>
      <c r="CB2" s="80" t="s">
        <v>1539</v>
      </c>
      <c r="CC2" s="80" t="s">
        <v>1540</v>
      </c>
      <c r="CD2" s="80" t="s">
        <v>1541</v>
      </c>
      <c r="CE2" s="80" t="s">
        <v>1542</v>
      </c>
      <c r="CF2" s="80" t="s">
        <v>1543</v>
      </c>
      <c r="CG2" s="80" t="s">
        <v>1544</v>
      </c>
      <c r="CH2" s="80" t="s">
        <v>1545</v>
      </c>
      <c r="CI2" s="80" t="s">
        <v>1547</v>
      </c>
      <c r="CJ2" s="80" t="s">
        <v>1485</v>
      </c>
      <c r="CK2" s="80" t="s">
        <v>1502</v>
      </c>
      <c r="CL2" s="80" t="s">
        <v>1467</v>
      </c>
      <c r="CM2" s="80" t="s">
        <v>1468</v>
      </c>
    </row>
    <row r="3" spans="1:91" s="69" customFormat="1" ht="16">
      <c r="A3" s="82" t="s">
        <v>492</v>
      </c>
      <c r="B3" s="82" t="s">
        <v>944</v>
      </c>
      <c r="C3" s="82" t="s">
        <v>491</v>
      </c>
      <c r="D3" s="82" t="s">
        <v>490</v>
      </c>
      <c r="E3" s="82" t="s">
        <v>9</v>
      </c>
      <c r="F3" s="82" t="s">
        <v>7</v>
      </c>
      <c r="G3" s="82" t="s">
        <v>10</v>
      </c>
      <c r="H3" s="82" t="s">
        <v>11</v>
      </c>
      <c r="I3" s="82" t="s">
        <v>12</v>
      </c>
      <c r="J3" s="82" t="s">
        <v>13</v>
      </c>
      <c r="K3" s="82" t="s">
        <v>14</v>
      </c>
      <c r="L3" s="82" t="s">
        <v>15</v>
      </c>
      <c r="M3" s="83" t="s">
        <v>16</v>
      </c>
      <c r="N3" s="82" t="s">
        <v>17</v>
      </c>
      <c r="O3" s="82" t="s">
        <v>18</v>
      </c>
      <c r="P3" s="82" t="s">
        <v>19</v>
      </c>
      <c r="Q3" s="82" t="s">
        <v>20</v>
      </c>
      <c r="R3" s="82" t="s">
        <v>21</v>
      </c>
      <c r="S3" s="82" t="s">
        <v>390</v>
      </c>
      <c r="T3" s="82" t="s">
        <v>387</v>
      </c>
      <c r="U3" s="82" t="s">
        <v>388</v>
      </c>
      <c r="V3" s="82" t="s">
        <v>389</v>
      </c>
      <c r="W3" s="84" t="s">
        <v>22</v>
      </c>
      <c r="X3" s="82" t="s">
        <v>23</v>
      </c>
      <c r="Y3" s="82" t="s">
        <v>24</v>
      </c>
      <c r="Z3" s="82" t="s">
        <v>25</v>
      </c>
      <c r="AA3" s="82" t="s">
        <v>26</v>
      </c>
      <c r="AB3" s="82" t="s">
        <v>27</v>
      </c>
      <c r="AC3" s="82" t="s">
        <v>28</v>
      </c>
      <c r="AD3" s="82" t="s">
        <v>29</v>
      </c>
      <c r="AE3" s="82" t="s">
        <v>30</v>
      </c>
      <c r="AF3" s="82" t="s">
        <v>31</v>
      </c>
      <c r="AG3" s="82" t="s">
        <v>32</v>
      </c>
      <c r="AH3" s="82" t="s">
        <v>33</v>
      </c>
      <c r="AI3" s="82" t="s">
        <v>34</v>
      </c>
      <c r="AJ3" s="82" t="s">
        <v>35</v>
      </c>
      <c r="AK3" s="82" t="s">
        <v>36</v>
      </c>
      <c r="AL3" s="82" t="s">
        <v>37</v>
      </c>
      <c r="AM3" s="83" t="s">
        <v>38</v>
      </c>
      <c r="AN3" s="82" t="s">
        <v>39</v>
      </c>
      <c r="AO3" s="82" t="s">
        <v>40</v>
      </c>
      <c r="AP3" s="82" t="s">
        <v>41</v>
      </c>
      <c r="AQ3" s="83" t="s">
        <v>42</v>
      </c>
      <c r="AR3" s="82" t="s">
        <v>43</v>
      </c>
      <c r="AS3" s="82" t="s">
        <v>44</v>
      </c>
      <c r="AT3" s="82" t="s">
        <v>45</v>
      </c>
      <c r="AU3" s="83" t="s">
        <v>46</v>
      </c>
      <c r="AV3" s="82" t="s">
        <v>47</v>
      </c>
      <c r="AW3" s="82" t="s">
        <v>48</v>
      </c>
      <c r="AX3" s="82" t="s">
        <v>49</v>
      </c>
      <c r="AY3" s="83" t="s">
        <v>50</v>
      </c>
      <c r="AZ3" s="82" t="s">
        <v>51</v>
      </c>
      <c r="BA3" s="82" t="s">
        <v>52</v>
      </c>
      <c r="BB3" s="82" t="s">
        <v>53</v>
      </c>
      <c r="BC3" s="82" t="s">
        <v>54</v>
      </c>
      <c r="BD3" s="82" t="s">
        <v>55</v>
      </c>
      <c r="BE3" s="82" t="s">
        <v>56</v>
      </c>
      <c r="BF3" s="83" t="s">
        <v>57</v>
      </c>
      <c r="BG3" s="83" t="s">
        <v>335</v>
      </c>
      <c r="BH3" s="82" t="s">
        <v>336</v>
      </c>
      <c r="BI3" s="82" t="s">
        <v>337</v>
      </c>
      <c r="BJ3" s="83" t="s">
        <v>338</v>
      </c>
      <c r="BK3" s="83" t="s">
        <v>5</v>
      </c>
      <c r="BL3" s="82" t="s">
        <v>6</v>
      </c>
      <c r="BM3" s="82" t="s">
        <v>8</v>
      </c>
      <c r="BN3" s="82" t="s">
        <v>1552</v>
      </c>
      <c r="BO3" s="82" t="s">
        <v>1553</v>
      </c>
      <c r="BP3" s="82" t="s">
        <v>1554</v>
      </c>
      <c r="BQ3" s="82" t="s">
        <v>1555</v>
      </c>
      <c r="BR3" s="82" t="s">
        <v>1556</v>
      </c>
      <c r="BS3" s="82" t="s">
        <v>1513</v>
      </c>
      <c r="BT3" s="82" t="s">
        <v>1514</v>
      </c>
      <c r="BU3" s="82" t="s">
        <v>1515</v>
      </c>
      <c r="BV3" s="82" t="s">
        <v>1516</v>
      </c>
      <c r="BW3" s="82" t="s">
        <v>1517</v>
      </c>
      <c r="BX3" s="82" t="s">
        <v>1518</v>
      </c>
      <c r="BY3" s="82" t="s">
        <v>1519</v>
      </c>
      <c r="BZ3" s="82" t="s">
        <v>1520</v>
      </c>
      <c r="CA3" s="82" t="s">
        <v>1521</v>
      </c>
      <c r="CB3" s="82" t="s">
        <v>1522</v>
      </c>
      <c r="CC3" s="82" t="s">
        <v>1523</v>
      </c>
      <c r="CD3" s="82" t="s">
        <v>1524</v>
      </c>
      <c r="CE3" s="82" t="s">
        <v>1525</v>
      </c>
      <c r="CF3" s="82" t="s">
        <v>1526</v>
      </c>
      <c r="CG3" s="82" t="s">
        <v>1527</v>
      </c>
      <c r="CH3" s="82" t="s">
        <v>1528</v>
      </c>
      <c r="CI3" s="82" t="s">
        <v>1548</v>
      </c>
      <c r="CJ3" s="82" t="s">
        <v>1529</v>
      </c>
      <c r="CK3" s="82" t="s">
        <v>1550</v>
      </c>
      <c r="CL3" s="82" t="s">
        <v>1549</v>
      </c>
      <c r="CM3" s="82" t="s">
        <v>1551</v>
      </c>
    </row>
    <row r="4" spans="1:91">
      <c r="A4" s="76" t="str">
        <f>IF($D4="","",TRIM($C4)&amp;" "&amp;CHAR(40)&amp;TRIM($D4)&amp;CHAR(41))</f>
        <v>About Author Text (atatx)</v>
      </c>
      <c r="B4" s="5"/>
      <c r="C4" s="5" t="s">
        <v>493</v>
      </c>
      <c r="D4" s="5" t="s">
        <v>953</v>
      </c>
      <c r="E4" s="5" t="s">
        <v>0</v>
      </c>
      <c r="F4" s="5">
        <v>1</v>
      </c>
      <c r="G4" s="5" t="b">
        <v>0</v>
      </c>
      <c r="H4" s="5">
        <v>1</v>
      </c>
      <c r="I4" s="5" t="s">
        <v>74</v>
      </c>
      <c r="J4" s="5">
        <v>12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0</v>
      </c>
      <c r="AE4" s="5">
        <v>2</v>
      </c>
      <c r="AF4" s="5">
        <v>24</v>
      </c>
      <c r="AG4" s="5">
        <v>0</v>
      </c>
      <c r="AH4" s="5">
        <v>36</v>
      </c>
      <c r="AI4" s="5">
        <v>10</v>
      </c>
      <c r="AJ4" s="5" t="b">
        <v>0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" t="s">
        <v>69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6" t="s">
        <v>68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  <c r="CL4" s="77" t="str">
        <f t="shared" ref="CL4:CL67" si="0">SUBSTITUTE(SUBSTITUTE(SUBSTITUTE(SUBSTITUTE(A4, "(",""),")","")," ",""),"#","")</f>
        <v>AboutAuthorTextatatx</v>
      </c>
    </row>
    <row r="5" spans="1:91">
      <c r="A5" s="76" t="str">
        <f t="shared" ref="A5:A68" si="1">IF($D5="","",TRIM($C5)&amp;" "&amp;CHAR(40)&amp;TRIM($D5)&amp;CHAR(41))</f>
        <v>About Author Text Head (atah)</v>
      </c>
      <c r="B5" s="5"/>
      <c r="C5" s="5" t="s">
        <v>494</v>
      </c>
      <c r="D5" s="5" t="s">
        <v>954</v>
      </c>
      <c r="E5" s="76" t="s">
        <v>72</v>
      </c>
      <c r="F5" s="5">
        <v>1</v>
      </c>
      <c r="G5" s="5" t="b">
        <v>0</v>
      </c>
      <c r="H5" s="5">
        <v>1</v>
      </c>
      <c r="I5" s="5" t="s">
        <v>4</v>
      </c>
      <c r="J5" s="5">
        <v>14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10</v>
      </c>
      <c r="AE5" s="5">
        <v>2</v>
      </c>
      <c r="AF5" s="5">
        <v>24</v>
      </c>
      <c r="AG5" s="5">
        <v>1</v>
      </c>
      <c r="AH5" s="5">
        <v>0</v>
      </c>
      <c r="AI5" s="5">
        <v>3</v>
      </c>
      <c r="AJ5" s="5" t="b">
        <v>0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9" t="s">
        <v>71</v>
      </c>
      <c r="AR5" s="5">
        <v>2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6" t="s">
        <v>68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  <c r="BN5" s="8" t="s">
        <v>1171</v>
      </c>
      <c r="BT5" s="8" t="b">
        <v>1</v>
      </c>
      <c r="CL5" s="77" t="str">
        <f t="shared" si="0"/>
        <v>AboutAuthorTextHeadatah</v>
      </c>
    </row>
    <row r="6" spans="1:91">
      <c r="A6" s="76" t="str">
        <f t="shared" si="1"/>
        <v>About Author Text No-Indent (atatx1)</v>
      </c>
      <c r="B6" s="5"/>
      <c r="C6" s="5" t="s">
        <v>495</v>
      </c>
      <c r="D6" s="5" t="s">
        <v>955</v>
      </c>
      <c r="E6" s="5" t="s">
        <v>0</v>
      </c>
      <c r="F6" s="5">
        <v>1</v>
      </c>
      <c r="G6" s="5" t="b">
        <v>0</v>
      </c>
      <c r="H6" s="5">
        <v>1</v>
      </c>
      <c r="I6" s="5" t="s">
        <v>74</v>
      </c>
      <c r="J6" s="5">
        <v>12</v>
      </c>
      <c r="K6" s="5" t="b">
        <v>0</v>
      </c>
      <c r="L6" s="5" t="b">
        <v>0</v>
      </c>
      <c r="M6" s="6" t="s">
        <v>68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0</v>
      </c>
      <c r="AE6" s="5">
        <v>2</v>
      </c>
      <c r="AF6" s="5">
        <v>24</v>
      </c>
      <c r="AG6" s="5">
        <v>0</v>
      </c>
      <c r="AH6" s="5">
        <v>0</v>
      </c>
      <c r="AI6" s="5">
        <v>10</v>
      </c>
      <c r="AJ6" s="5" t="b">
        <v>0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" t="s">
        <v>69</v>
      </c>
      <c r="AR6" s="5">
        <v>2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6" t="s">
        <v>68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  <c r="CL6" s="77" t="str">
        <f t="shared" si="0"/>
        <v>AboutAuthorTextNo-Indentatatx1</v>
      </c>
    </row>
    <row r="7" spans="1:91">
      <c r="A7" s="76" t="str">
        <f t="shared" si="1"/>
        <v>Ad Card List of Titles (acl)</v>
      </c>
      <c r="B7" s="5"/>
      <c r="C7" s="5" t="s">
        <v>496</v>
      </c>
      <c r="D7" s="5" t="s">
        <v>956</v>
      </c>
      <c r="E7" s="5" t="s">
        <v>73</v>
      </c>
      <c r="F7" s="5">
        <v>1</v>
      </c>
      <c r="G7" s="5" t="b">
        <v>0</v>
      </c>
      <c r="H7" s="5">
        <v>1</v>
      </c>
      <c r="I7" s="5" t="s">
        <v>74</v>
      </c>
      <c r="J7" s="5">
        <v>12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1</v>
      </c>
      <c r="Y7" s="5" t="b">
        <v>0</v>
      </c>
      <c r="Z7" s="5" t="b">
        <v>0</v>
      </c>
      <c r="AA7" s="5">
        <v>0</v>
      </c>
      <c r="AB7" s="5">
        <v>0</v>
      </c>
      <c r="AC7" s="5">
        <v>24</v>
      </c>
      <c r="AD7" s="5">
        <v>0</v>
      </c>
      <c r="AE7" s="5">
        <v>2</v>
      </c>
      <c r="AF7" s="5">
        <v>24</v>
      </c>
      <c r="AG7" s="5">
        <v>1</v>
      </c>
      <c r="AH7" s="5">
        <v>0</v>
      </c>
      <c r="AI7" s="5">
        <v>10</v>
      </c>
      <c r="AJ7" s="5" t="b">
        <v>0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10" t="s">
        <v>364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6" t="s">
        <v>68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  <c r="CL7" s="81" t="str">
        <f t="shared" si="0"/>
        <v>AdCardListofTitlesacl</v>
      </c>
    </row>
    <row r="8" spans="1:91">
      <c r="A8" s="76" t="str">
        <f t="shared" si="1"/>
        <v>Ad Card Main Head (acmh)</v>
      </c>
      <c r="B8" s="5"/>
      <c r="C8" s="5" t="s">
        <v>497</v>
      </c>
      <c r="D8" s="5" t="s">
        <v>957</v>
      </c>
      <c r="E8" s="5" t="s">
        <v>73</v>
      </c>
      <c r="F8" s="5">
        <v>1</v>
      </c>
      <c r="G8" s="5" t="b">
        <v>0</v>
      </c>
      <c r="H8" s="5">
        <v>1</v>
      </c>
      <c r="I8" s="5" t="s">
        <v>4</v>
      </c>
      <c r="J8" s="5">
        <v>16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10</v>
      </c>
      <c r="AE8" s="5">
        <v>2</v>
      </c>
      <c r="AF8" s="5">
        <v>24</v>
      </c>
      <c r="AG8" s="5">
        <v>1</v>
      </c>
      <c r="AH8" s="5">
        <v>0</v>
      </c>
      <c r="AI8" s="5">
        <v>3</v>
      </c>
      <c r="AJ8" s="5" t="b">
        <v>0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10" t="s">
        <v>364</v>
      </c>
      <c r="AR8" s="5">
        <v>7</v>
      </c>
      <c r="AS8" s="5">
        <v>18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6" t="s">
        <v>68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  <c r="BN8" s="8" t="s">
        <v>1171</v>
      </c>
      <c r="BT8" s="8" t="b">
        <v>1</v>
      </c>
      <c r="CL8" s="77" t="str">
        <f t="shared" si="0"/>
        <v>AdCardMainHeadacmh</v>
      </c>
    </row>
    <row r="9" spans="1:91">
      <c r="A9" s="76" t="str">
        <f t="shared" si="1"/>
        <v>Ad Card Subhead (acsh)</v>
      </c>
      <c r="B9" s="5"/>
      <c r="C9" s="5" t="s">
        <v>498</v>
      </c>
      <c r="D9" s="5" t="s">
        <v>958</v>
      </c>
      <c r="E9" s="5" t="s">
        <v>73</v>
      </c>
      <c r="F9" s="5">
        <v>1</v>
      </c>
      <c r="G9" s="5" t="b">
        <v>0</v>
      </c>
      <c r="H9" s="5">
        <v>1</v>
      </c>
      <c r="I9" s="5" t="s">
        <v>2</v>
      </c>
      <c r="J9" s="5">
        <v>14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10</v>
      </c>
      <c r="AE9" s="5">
        <v>2</v>
      </c>
      <c r="AF9" s="5">
        <v>24</v>
      </c>
      <c r="AG9" s="5">
        <v>1</v>
      </c>
      <c r="AH9" s="5">
        <v>0</v>
      </c>
      <c r="AI9" s="5">
        <v>10</v>
      </c>
      <c r="AJ9" s="5" t="b">
        <v>0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10" t="s">
        <v>364</v>
      </c>
      <c r="AR9" s="5">
        <v>2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6" t="s">
        <v>68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  <c r="CL9" s="77" t="str">
        <f t="shared" si="0"/>
        <v>AdCardSubheadacsh</v>
      </c>
    </row>
    <row r="10" spans="1:91">
      <c r="A10" s="76" t="str">
        <f t="shared" si="1"/>
        <v>Address (add)</v>
      </c>
      <c r="B10" s="5"/>
      <c r="C10" s="5" t="s">
        <v>499</v>
      </c>
      <c r="D10" s="5" t="s">
        <v>959</v>
      </c>
      <c r="E10" s="5" t="s">
        <v>75</v>
      </c>
      <c r="F10" s="5">
        <v>1</v>
      </c>
      <c r="G10" s="5" t="b">
        <v>0</v>
      </c>
      <c r="H10" s="5">
        <v>1</v>
      </c>
      <c r="I10" s="5" t="s">
        <v>74</v>
      </c>
      <c r="J10" s="5">
        <v>12</v>
      </c>
      <c r="K10" s="5" t="b">
        <v>0</v>
      </c>
      <c r="L10" s="5" t="b">
        <v>0</v>
      </c>
      <c r="M10" s="6" t="s">
        <v>68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24</v>
      </c>
      <c r="AG10" s="5">
        <v>0</v>
      </c>
      <c r="AH10" s="5">
        <v>0</v>
      </c>
      <c r="AI10" s="5">
        <v>10</v>
      </c>
      <c r="AJ10" s="5" t="b">
        <v>0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11" t="s">
        <v>76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6" t="s">
        <v>68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  <c r="CL10" s="77" t="str">
        <f t="shared" si="0"/>
        <v>Addressadd</v>
      </c>
    </row>
    <row r="11" spans="1:91">
      <c r="A11" s="76" t="str">
        <f t="shared" si="1"/>
        <v>Appendix Footnote (apfn)</v>
      </c>
      <c r="B11" s="5"/>
      <c r="C11" s="5" t="s">
        <v>500</v>
      </c>
      <c r="D11" s="5" t="s">
        <v>960</v>
      </c>
      <c r="E11" s="5" t="s">
        <v>77</v>
      </c>
      <c r="F11" s="5">
        <v>1</v>
      </c>
      <c r="G11" s="5" t="b">
        <v>0</v>
      </c>
      <c r="H11" s="5">
        <v>1</v>
      </c>
      <c r="I11" s="5" t="s">
        <v>74</v>
      </c>
      <c r="J11" s="5">
        <v>10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24</v>
      </c>
      <c r="AG11" s="5">
        <v>0</v>
      </c>
      <c r="AH11" s="5">
        <v>0</v>
      </c>
      <c r="AI11" s="5">
        <v>10</v>
      </c>
      <c r="AJ11" s="5" t="b">
        <v>0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12" t="s">
        <v>78</v>
      </c>
      <c r="AR11" s="5">
        <v>7</v>
      </c>
      <c r="AS11" s="5">
        <v>6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6" t="s">
        <v>68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  <c r="CL11" s="77" t="str">
        <f t="shared" si="0"/>
        <v>AppendixFootnoteapfn</v>
      </c>
    </row>
    <row r="12" spans="1:91">
      <c r="A12" s="76" t="str">
        <f t="shared" si="1"/>
        <v>Appendix Head (aph)</v>
      </c>
      <c r="B12" s="5"/>
      <c r="C12" s="5" t="s">
        <v>501</v>
      </c>
      <c r="D12" s="5" t="s">
        <v>961</v>
      </c>
      <c r="E12" s="5" t="s">
        <v>85</v>
      </c>
      <c r="F12" s="5">
        <v>1</v>
      </c>
      <c r="G12" s="5" t="b">
        <v>0</v>
      </c>
      <c r="H12" s="5">
        <v>1</v>
      </c>
      <c r="I12" s="5" t="s">
        <v>2</v>
      </c>
      <c r="J12" s="5">
        <v>24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18</v>
      </c>
      <c r="AD12" s="5">
        <v>10</v>
      </c>
      <c r="AE12" s="5">
        <v>2</v>
      </c>
      <c r="AF12" s="5">
        <v>24</v>
      </c>
      <c r="AG12" s="5">
        <v>1</v>
      </c>
      <c r="AH12" s="5">
        <v>0</v>
      </c>
      <c r="AI12" s="5">
        <v>3</v>
      </c>
      <c r="AJ12" s="5" t="b">
        <v>0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12" t="s">
        <v>78</v>
      </c>
      <c r="AR12" s="5">
        <v>2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6" t="s">
        <v>68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  <c r="BN12" s="8" t="s">
        <v>1171</v>
      </c>
      <c r="BT12" s="8" t="b">
        <v>1</v>
      </c>
      <c r="CL12" s="77" t="str">
        <f t="shared" si="0"/>
        <v>AppendixHeadaph</v>
      </c>
    </row>
    <row r="13" spans="1:91">
      <c r="A13" s="76" t="str">
        <f t="shared" si="1"/>
        <v>Appendix Level-1 Subhead (aph1)</v>
      </c>
      <c r="B13" s="5"/>
      <c r="C13" s="5" t="s">
        <v>502</v>
      </c>
      <c r="D13" s="5" t="s">
        <v>962</v>
      </c>
      <c r="E13" s="5" t="s">
        <v>86</v>
      </c>
      <c r="F13" s="5">
        <v>1</v>
      </c>
      <c r="G13" s="5" t="b">
        <v>0</v>
      </c>
      <c r="H13" s="5">
        <v>1</v>
      </c>
      <c r="I13" s="5" t="s">
        <v>4</v>
      </c>
      <c r="J13" s="5">
        <v>16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18</v>
      </c>
      <c r="AD13" s="5">
        <v>0</v>
      </c>
      <c r="AE13" s="5">
        <v>2</v>
      </c>
      <c r="AF13" s="5">
        <v>24</v>
      </c>
      <c r="AG13" s="5">
        <v>0</v>
      </c>
      <c r="AH13" s="5">
        <v>0</v>
      </c>
      <c r="AI13" s="5">
        <v>5</v>
      </c>
      <c r="AJ13" s="5" t="b">
        <v>0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12" t="s">
        <v>78</v>
      </c>
      <c r="AR13" s="5">
        <v>8</v>
      </c>
      <c r="AS13" s="5">
        <v>12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6" t="s">
        <v>68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  <c r="CL13" s="77" t="str">
        <f t="shared" si="0"/>
        <v>AppendixLevel-1Subheadaph1</v>
      </c>
    </row>
    <row r="14" spans="1:91">
      <c r="A14" s="76" t="str">
        <f t="shared" si="1"/>
        <v>Appendix Level-2 Subhead (aph2)</v>
      </c>
      <c r="B14" s="5"/>
      <c r="C14" s="5" t="s">
        <v>503</v>
      </c>
      <c r="D14" s="5" t="s">
        <v>963</v>
      </c>
      <c r="E14" s="5" t="s">
        <v>86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18</v>
      </c>
      <c r="AD14" s="5">
        <v>0</v>
      </c>
      <c r="AE14" s="5">
        <v>2</v>
      </c>
      <c r="AF14" s="5">
        <v>24</v>
      </c>
      <c r="AG14" s="5">
        <v>0</v>
      </c>
      <c r="AH14" s="5">
        <v>0</v>
      </c>
      <c r="AI14" s="5">
        <v>6</v>
      </c>
      <c r="AJ14" s="5" t="b">
        <v>0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12" t="s">
        <v>78</v>
      </c>
      <c r="AR14" s="5">
        <v>15</v>
      </c>
      <c r="AS14" s="5">
        <v>36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6" t="s">
        <v>68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  <c r="CL14" s="77" t="str">
        <f t="shared" si="0"/>
        <v>AppendixLevel-2Subheadaph2</v>
      </c>
    </row>
    <row r="15" spans="1:91">
      <c r="A15" s="76" t="str">
        <f t="shared" si="1"/>
        <v>Appendix Level-3 Subhead (aph3)</v>
      </c>
      <c r="B15" s="5"/>
      <c r="C15" s="5" t="s">
        <v>504</v>
      </c>
      <c r="D15" s="5" t="s">
        <v>964</v>
      </c>
      <c r="E15" s="5" t="s">
        <v>86</v>
      </c>
      <c r="F15" s="5">
        <v>1</v>
      </c>
      <c r="G15" s="5" t="b">
        <v>0</v>
      </c>
      <c r="H15" s="5">
        <v>1</v>
      </c>
      <c r="I15" s="5" t="s">
        <v>84</v>
      </c>
      <c r="J15" s="5">
        <v>16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18</v>
      </c>
      <c r="AD15" s="5">
        <v>0</v>
      </c>
      <c r="AE15" s="5">
        <v>2</v>
      </c>
      <c r="AF15" s="5">
        <v>24</v>
      </c>
      <c r="AG15" s="5">
        <v>0</v>
      </c>
      <c r="AH15" s="5">
        <v>0</v>
      </c>
      <c r="AI15" s="5">
        <v>7</v>
      </c>
      <c r="AJ15" s="5" t="b">
        <v>0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12" t="s">
        <v>78</v>
      </c>
      <c r="AR15" s="5">
        <v>16</v>
      </c>
      <c r="AS15" s="5">
        <v>36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6" t="s">
        <v>68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  <c r="CL15" s="77" t="str">
        <f t="shared" si="0"/>
        <v>AppendixLevel-3Subheadaph3</v>
      </c>
    </row>
    <row r="16" spans="1:91">
      <c r="A16" s="76" t="str">
        <f t="shared" si="1"/>
        <v>Appendix Level-4 Subhead (aph4)</v>
      </c>
      <c r="B16" s="5"/>
      <c r="C16" s="5" t="s">
        <v>505</v>
      </c>
      <c r="D16" s="5" t="s">
        <v>965</v>
      </c>
      <c r="E16" s="5" t="s">
        <v>86</v>
      </c>
      <c r="F16" s="5">
        <v>1</v>
      </c>
      <c r="G16" s="5" t="b">
        <v>0</v>
      </c>
      <c r="H16" s="5">
        <v>1</v>
      </c>
      <c r="I16" s="5" t="s">
        <v>4</v>
      </c>
      <c r="J16" s="5">
        <v>14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18</v>
      </c>
      <c r="AD16" s="5">
        <v>0</v>
      </c>
      <c r="AE16" s="5">
        <v>2</v>
      </c>
      <c r="AF16" s="5">
        <v>24</v>
      </c>
      <c r="AG16" s="5">
        <v>0</v>
      </c>
      <c r="AH16" s="5">
        <v>0</v>
      </c>
      <c r="AI16" s="5">
        <v>8</v>
      </c>
      <c r="AJ16" s="5" t="b">
        <v>0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12" t="s">
        <v>78</v>
      </c>
      <c r="AR16" s="5">
        <v>1</v>
      </c>
      <c r="AS16" s="5">
        <v>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6" t="s">
        <v>68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  <c r="CL16" s="77" t="str">
        <f t="shared" si="0"/>
        <v>AppendixLevel-4Subheadaph4</v>
      </c>
    </row>
    <row r="17" spans="1:90">
      <c r="A17" s="76" t="str">
        <f t="shared" si="1"/>
        <v>Appendix Level-5 Subhead (aph5)</v>
      </c>
      <c r="B17" s="5"/>
      <c r="C17" s="5" t="s">
        <v>506</v>
      </c>
      <c r="D17" s="5" t="s">
        <v>966</v>
      </c>
      <c r="E17" s="5" t="s">
        <v>86</v>
      </c>
      <c r="F17" s="5">
        <v>1</v>
      </c>
      <c r="G17" s="5" t="b">
        <v>0</v>
      </c>
      <c r="H17" s="5">
        <v>1</v>
      </c>
      <c r="I17" s="5" t="s">
        <v>2</v>
      </c>
      <c r="J17" s="5">
        <v>14</v>
      </c>
      <c r="K17" s="5" t="b">
        <v>0</v>
      </c>
      <c r="L17" s="5" t="b">
        <v>0</v>
      </c>
      <c r="M17" s="6" t="s">
        <v>68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18</v>
      </c>
      <c r="AD17" s="5">
        <v>0</v>
      </c>
      <c r="AE17" s="5">
        <v>2</v>
      </c>
      <c r="AF17" s="5">
        <v>24</v>
      </c>
      <c r="AG17" s="5">
        <v>0</v>
      </c>
      <c r="AH17" s="5">
        <v>0</v>
      </c>
      <c r="AI17" s="5">
        <v>9</v>
      </c>
      <c r="AJ17" s="5" t="b">
        <v>0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12" t="s">
        <v>78</v>
      </c>
      <c r="AR17" s="5">
        <v>1</v>
      </c>
      <c r="AS17" s="5">
        <v>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6" t="s">
        <v>68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  <c r="CL17" s="77" t="str">
        <f t="shared" si="0"/>
        <v>AppendixLevel-5Subheadaph5</v>
      </c>
    </row>
    <row r="18" spans="1:90">
      <c r="A18" s="76" t="str">
        <f t="shared" si="1"/>
        <v>Appendix List Bullet (apbl)</v>
      </c>
      <c r="B18" s="5"/>
      <c r="C18" s="5" t="s">
        <v>507</v>
      </c>
      <c r="D18" s="5" t="s">
        <v>967</v>
      </c>
      <c r="E18" s="5" t="s">
        <v>80</v>
      </c>
      <c r="F18" s="5">
        <v>1</v>
      </c>
      <c r="G18" s="5" t="b">
        <v>0</v>
      </c>
      <c r="H18" s="5">
        <v>1</v>
      </c>
      <c r="I18" s="5" t="s">
        <v>74</v>
      </c>
      <c r="J18" s="5">
        <v>12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1</v>
      </c>
      <c r="Y18" s="5" t="b">
        <v>1</v>
      </c>
      <c r="Z18" s="5" t="b">
        <v>0</v>
      </c>
      <c r="AA18" s="5">
        <v>45</v>
      </c>
      <c r="AB18" s="5">
        <v>0</v>
      </c>
      <c r="AC18" s="5">
        <v>12</v>
      </c>
      <c r="AD18" s="5">
        <v>12</v>
      </c>
      <c r="AE18" s="5">
        <v>2</v>
      </c>
      <c r="AF18" s="5">
        <v>24</v>
      </c>
      <c r="AG18" s="5">
        <v>0</v>
      </c>
      <c r="AH18" s="5">
        <v>-18</v>
      </c>
      <c r="AI18" s="5">
        <v>10</v>
      </c>
      <c r="AJ18" s="5" t="b">
        <v>0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12" t="s">
        <v>78</v>
      </c>
      <c r="AR18" s="5">
        <v>19</v>
      </c>
      <c r="AS18" s="5">
        <v>6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31</v>
      </c>
      <c r="BC18" s="5">
        <v>4</v>
      </c>
      <c r="BD18" s="5">
        <v>1</v>
      </c>
      <c r="BE18" s="5">
        <v>1</v>
      </c>
      <c r="BF18" s="6" t="s">
        <v>68</v>
      </c>
      <c r="BG18" s="6"/>
      <c r="BH18" s="5"/>
      <c r="BI18" s="5"/>
      <c r="BJ18" s="6"/>
      <c r="BK18" s="5" t="s">
        <v>1</v>
      </c>
      <c r="BL18" s="5">
        <v>1</v>
      </c>
      <c r="BM18" s="5" t="b">
        <v>0</v>
      </c>
      <c r="BN18" s="8" t="s">
        <v>1469</v>
      </c>
      <c r="BO18" s="8" t="s">
        <v>1206</v>
      </c>
      <c r="CD18" s="8" t="b">
        <v>1</v>
      </c>
      <c r="CL18" s="77" t="str">
        <f t="shared" si="0"/>
        <v>AppendixListBulletapbl</v>
      </c>
    </row>
    <row r="19" spans="1:90">
      <c r="A19" s="76" t="str">
        <f t="shared" si="1"/>
        <v>Appendix List Num (apnl)</v>
      </c>
      <c r="B19" s="5"/>
      <c r="C19" s="5" t="s">
        <v>508</v>
      </c>
      <c r="D19" s="5" t="s">
        <v>968</v>
      </c>
      <c r="E19" s="5" t="s">
        <v>81</v>
      </c>
      <c r="F19" s="5">
        <v>1</v>
      </c>
      <c r="G19" s="5" t="b">
        <v>0</v>
      </c>
      <c r="H19" s="5">
        <v>1</v>
      </c>
      <c r="I19" s="5" t="s">
        <v>74</v>
      </c>
      <c r="J19" s="5">
        <v>12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1</v>
      </c>
      <c r="Y19" s="5" t="b">
        <v>0</v>
      </c>
      <c r="Z19" s="5" t="b">
        <v>0</v>
      </c>
      <c r="AA19" s="5">
        <v>45</v>
      </c>
      <c r="AB19" s="5">
        <v>0</v>
      </c>
      <c r="AC19" s="5">
        <v>12</v>
      </c>
      <c r="AD19" s="5">
        <v>12</v>
      </c>
      <c r="AE19" s="5">
        <v>2</v>
      </c>
      <c r="AF19" s="5">
        <v>24</v>
      </c>
      <c r="AG19" s="5">
        <v>0</v>
      </c>
      <c r="AH19" s="5">
        <v>-18</v>
      </c>
      <c r="AI19" s="5">
        <v>10</v>
      </c>
      <c r="AJ19" s="5" t="b">
        <v>0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12" t="s">
        <v>78</v>
      </c>
      <c r="AR19" s="5">
        <v>18</v>
      </c>
      <c r="AS19" s="5">
        <v>12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31</v>
      </c>
      <c r="BC19" s="5">
        <v>4</v>
      </c>
      <c r="BD19" s="5">
        <v>1</v>
      </c>
      <c r="BE19" s="5">
        <v>1</v>
      </c>
      <c r="BF19" s="6" t="s">
        <v>68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  <c r="BN19" s="8" t="s">
        <v>1469</v>
      </c>
      <c r="BO19" s="8" t="s">
        <v>1470</v>
      </c>
      <c r="CE19" s="8" t="b">
        <v>1</v>
      </c>
      <c r="CL19" s="77" t="str">
        <f t="shared" si="0"/>
        <v>AppendixListNumapnl</v>
      </c>
    </row>
    <row r="20" spans="1:90">
      <c r="A20" s="76" t="str">
        <f t="shared" si="1"/>
        <v>Appendix List Unnum (apul)</v>
      </c>
      <c r="B20" s="5"/>
      <c r="C20" s="5" t="s">
        <v>509</v>
      </c>
      <c r="D20" s="5" t="s">
        <v>969</v>
      </c>
      <c r="E20" s="5" t="s">
        <v>82</v>
      </c>
      <c r="F20" s="5">
        <v>1</v>
      </c>
      <c r="G20" s="5" t="b">
        <v>0</v>
      </c>
      <c r="H20" s="5">
        <v>1</v>
      </c>
      <c r="I20" s="5" t="s">
        <v>74</v>
      </c>
      <c r="J20" s="5">
        <v>12</v>
      </c>
      <c r="K20" s="5" t="b">
        <v>0</v>
      </c>
      <c r="L20" s="5" t="b">
        <v>0</v>
      </c>
      <c r="M20" s="6" t="s">
        <v>68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1</v>
      </c>
      <c r="Y20" s="5" t="b">
        <v>0</v>
      </c>
      <c r="Z20" s="5" t="b">
        <v>0</v>
      </c>
      <c r="AA20" s="5">
        <v>45</v>
      </c>
      <c r="AB20" s="5">
        <v>0</v>
      </c>
      <c r="AC20" s="5">
        <v>12</v>
      </c>
      <c r="AD20" s="5">
        <v>12</v>
      </c>
      <c r="AE20" s="5">
        <v>2</v>
      </c>
      <c r="AF20" s="5">
        <v>24</v>
      </c>
      <c r="AG20" s="5">
        <v>0</v>
      </c>
      <c r="AH20" s="5">
        <v>-18</v>
      </c>
      <c r="AI20" s="5">
        <v>10</v>
      </c>
      <c r="AJ20" s="5" t="b">
        <v>0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12" t="s">
        <v>78</v>
      </c>
      <c r="AR20" s="5">
        <v>3</v>
      </c>
      <c r="AS20" s="5">
        <v>18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31</v>
      </c>
      <c r="BC20" s="5">
        <v>4</v>
      </c>
      <c r="BD20" s="5">
        <v>1</v>
      </c>
      <c r="BE20" s="5">
        <v>1</v>
      </c>
      <c r="BF20" s="6" t="s">
        <v>68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  <c r="CL20" s="77" t="str">
        <f t="shared" si="0"/>
        <v>AppendixListUnnumapul</v>
      </c>
    </row>
    <row r="21" spans="1:90">
      <c r="A21" s="76" t="str">
        <f t="shared" si="1"/>
        <v>Appendix Source Note (apsn)</v>
      </c>
      <c r="B21" s="5"/>
      <c r="C21" s="5" t="s">
        <v>510</v>
      </c>
      <c r="D21" s="5" t="s">
        <v>970</v>
      </c>
      <c r="E21" s="5" t="s">
        <v>83</v>
      </c>
      <c r="F21" s="5">
        <v>1</v>
      </c>
      <c r="G21" s="5" t="b">
        <v>0</v>
      </c>
      <c r="H21" s="5">
        <v>1</v>
      </c>
      <c r="I21" s="5" t="s">
        <v>84</v>
      </c>
      <c r="J21" s="5">
        <v>9</v>
      </c>
      <c r="K21" s="5" t="b">
        <v>0</v>
      </c>
      <c r="L21" s="5" t="b">
        <v>0</v>
      </c>
      <c r="M21" s="6" t="s">
        <v>68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10</v>
      </c>
      <c r="AE21" s="5">
        <v>2</v>
      </c>
      <c r="AF21" s="5">
        <v>24</v>
      </c>
      <c r="AG21" s="5">
        <v>0</v>
      </c>
      <c r="AH21" s="5">
        <v>0</v>
      </c>
      <c r="AI21" s="5">
        <v>10</v>
      </c>
      <c r="AJ21" s="5" t="b">
        <v>0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12" t="s">
        <v>78</v>
      </c>
      <c r="AR21" s="5">
        <v>1</v>
      </c>
      <c r="AS21" s="5">
        <v>12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6" t="s">
        <v>68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  <c r="CL21" s="77" t="str">
        <f t="shared" si="0"/>
        <v>AppendixSourceNoteapsn</v>
      </c>
    </row>
    <row r="22" spans="1:90">
      <c r="A22" s="76" t="str">
        <f t="shared" si="1"/>
        <v>Appendix Subhead (apsh)</v>
      </c>
      <c r="B22" s="5"/>
      <c r="C22" s="5" t="s">
        <v>511</v>
      </c>
      <c r="D22" s="5" t="s">
        <v>971</v>
      </c>
      <c r="E22" s="5" t="s">
        <v>86</v>
      </c>
      <c r="F22" s="5">
        <v>1</v>
      </c>
      <c r="G22" s="5" t="b">
        <v>0</v>
      </c>
      <c r="H22" s="5">
        <v>1</v>
      </c>
      <c r="I22" s="5" t="s">
        <v>74</v>
      </c>
      <c r="J22" s="5">
        <v>18</v>
      </c>
      <c r="K22" s="5" t="b">
        <v>0</v>
      </c>
      <c r="L22" s="5" t="b">
        <v>0</v>
      </c>
      <c r="M22" s="6" t="s">
        <v>68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10</v>
      </c>
      <c r="AE22" s="5">
        <v>2</v>
      </c>
      <c r="AF22" s="5">
        <v>24</v>
      </c>
      <c r="AG22" s="5">
        <v>1</v>
      </c>
      <c r="AH22" s="5">
        <v>0</v>
      </c>
      <c r="AI22" s="5">
        <v>4</v>
      </c>
      <c r="AJ22" s="5" t="b">
        <v>0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12" t="s">
        <v>78</v>
      </c>
      <c r="AR22" s="5">
        <v>1</v>
      </c>
      <c r="AS22" s="5">
        <v>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6" t="s">
        <v>68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  <c r="CL22" s="77" t="str">
        <f t="shared" si="0"/>
        <v>AppendixSubheadapsh</v>
      </c>
    </row>
    <row r="23" spans="1:90">
      <c r="A23" s="76" t="str">
        <f t="shared" si="1"/>
        <v>Appendix Text (aptx)</v>
      </c>
      <c r="B23" s="5"/>
      <c r="C23" s="5" t="s">
        <v>512</v>
      </c>
      <c r="D23" s="5" t="s">
        <v>972</v>
      </c>
      <c r="E23" s="5" t="s">
        <v>85</v>
      </c>
      <c r="F23" s="5">
        <v>1</v>
      </c>
      <c r="G23" s="5" t="b">
        <v>0</v>
      </c>
      <c r="H23" s="5">
        <v>1</v>
      </c>
      <c r="I23" s="5" t="s">
        <v>74</v>
      </c>
      <c r="J23" s="5">
        <v>12</v>
      </c>
      <c r="K23" s="5" t="b">
        <v>0</v>
      </c>
      <c r="L23" s="5" t="b">
        <v>0</v>
      </c>
      <c r="M23" s="6" t="s">
        <v>68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0</v>
      </c>
      <c r="AE23" s="5">
        <v>2</v>
      </c>
      <c r="AF23" s="5">
        <v>24</v>
      </c>
      <c r="AG23" s="5">
        <v>0</v>
      </c>
      <c r="AH23" s="5">
        <v>36</v>
      </c>
      <c r="AI23" s="5">
        <v>10</v>
      </c>
      <c r="AJ23" s="5" t="b">
        <v>0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12" t="s">
        <v>78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6" t="s">
        <v>68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  <c r="CL23" s="77" t="str">
        <f t="shared" si="0"/>
        <v>AppendixTextaptx</v>
      </c>
    </row>
    <row r="24" spans="1:90">
      <c r="A24" s="76" t="str">
        <f t="shared" si="1"/>
        <v>Appendix Text No-Indent (aptx1)</v>
      </c>
      <c r="B24" s="5"/>
      <c r="C24" s="5" t="s">
        <v>513</v>
      </c>
      <c r="D24" s="5" t="s">
        <v>973</v>
      </c>
      <c r="E24" s="5" t="s">
        <v>86</v>
      </c>
      <c r="F24" s="5">
        <v>1</v>
      </c>
      <c r="G24" s="5" t="b">
        <v>0</v>
      </c>
      <c r="H24" s="5">
        <v>1</v>
      </c>
      <c r="I24" s="5" t="s">
        <v>74</v>
      </c>
      <c r="J24" s="5">
        <v>12</v>
      </c>
      <c r="K24" s="5" t="b">
        <v>0</v>
      </c>
      <c r="L24" s="5" t="b">
        <v>0</v>
      </c>
      <c r="M24" s="6" t="s">
        <v>68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0</v>
      </c>
      <c r="AE24" s="5">
        <v>2</v>
      </c>
      <c r="AF24" s="5">
        <v>24</v>
      </c>
      <c r="AG24" s="5">
        <v>0</v>
      </c>
      <c r="AH24" s="5">
        <v>0</v>
      </c>
      <c r="AI24" s="5">
        <v>10</v>
      </c>
      <c r="AJ24" s="5" t="b">
        <v>0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12" t="s">
        <v>78</v>
      </c>
      <c r="AR24" s="5">
        <v>7</v>
      </c>
      <c r="AS24" s="5">
        <v>18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6" t="s">
        <v>68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  <c r="CL24" s="77" t="str">
        <f t="shared" si="0"/>
        <v>AppendixTextNo-Indentaptx1</v>
      </c>
    </row>
    <row r="25" spans="1:90">
      <c r="A25" s="76" t="str">
        <f t="shared" si="1"/>
        <v>Biblio Level-1 Subhead (b1)</v>
      </c>
      <c r="B25" s="5"/>
      <c r="C25" s="5" t="s">
        <v>514</v>
      </c>
      <c r="D25" s="5" t="s">
        <v>974</v>
      </c>
      <c r="E25" s="5" t="s">
        <v>88</v>
      </c>
      <c r="F25" s="5">
        <v>1</v>
      </c>
      <c r="G25" s="5" t="b">
        <v>0</v>
      </c>
      <c r="H25" s="5">
        <v>1</v>
      </c>
      <c r="I25" s="5" t="s">
        <v>4</v>
      </c>
      <c r="J25" s="5">
        <v>16</v>
      </c>
      <c r="K25" s="5" t="b">
        <v>0</v>
      </c>
      <c r="L25" s="5" t="b">
        <v>0</v>
      </c>
      <c r="M25" s="6" t="s">
        <v>68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18</v>
      </c>
      <c r="AD25" s="5">
        <v>0</v>
      </c>
      <c r="AE25" s="5">
        <v>2</v>
      </c>
      <c r="AF25" s="5">
        <v>24</v>
      </c>
      <c r="AG25" s="5">
        <v>0</v>
      </c>
      <c r="AH25" s="5">
        <v>0</v>
      </c>
      <c r="AI25" s="5">
        <v>5</v>
      </c>
      <c r="AJ25" s="5" t="b">
        <v>0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13" t="s">
        <v>87</v>
      </c>
      <c r="AR25" s="5">
        <v>7</v>
      </c>
      <c r="AS25" s="5">
        <v>18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6" t="s">
        <v>68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  <c r="CL25" s="77" t="str">
        <f t="shared" si="0"/>
        <v>BiblioLevel-1Subheadb1</v>
      </c>
    </row>
    <row r="26" spans="1:90">
      <c r="A26" s="76" t="str">
        <f t="shared" si="1"/>
        <v>Biblio Level-2 Subhead (b2)</v>
      </c>
      <c r="B26" s="5"/>
      <c r="C26" s="5" t="s">
        <v>515</v>
      </c>
      <c r="D26" s="5" t="s">
        <v>975</v>
      </c>
      <c r="E26" s="5" t="s">
        <v>88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" t="s">
        <v>68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18</v>
      </c>
      <c r="AD26" s="5">
        <v>0</v>
      </c>
      <c r="AE26" s="5">
        <v>2</v>
      </c>
      <c r="AF26" s="5">
        <v>24</v>
      </c>
      <c r="AG26" s="5">
        <v>0</v>
      </c>
      <c r="AH26" s="5">
        <v>0</v>
      </c>
      <c r="AI26" s="5">
        <v>6</v>
      </c>
      <c r="AJ26" s="5" t="b">
        <v>0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13" t="s">
        <v>87</v>
      </c>
      <c r="AR26" s="5">
        <v>2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6" t="s">
        <v>68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  <c r="CL26" s="77" t="str">
        <f t="shared" si="0"/>
        <v>BiblioLevel-2Subheadb2</v>
      </c>
    </row>
    <row r="27" spans="1:90">
      <c r="A27" s="76" t="str">
        <f t="shared" si="1"/>
        <v>Biblio Level-3 Subhead (b3)</v>
      </c>
      <c r="B27" s="5"/>
      <c r="C27" s="5" t="s">
        <v>516</v>
      </c>
      <c r="D27" s="5" t="s">
        <v>976</v>
      </c>
      <c r="E27" s="5" t="s">
        <v>88</v>
      </c>
      <c r="F27" s="5">
        <v>1</v>
      </c>
      <c r="G27" s="5" t="b">
        <v>0</v>
      </c>
      <c r="H27" s="5">
        <v>1</v>
      </c>
      <c r="I27" s="5" t="s">
        <v>84</v>
      </c>
      <c r="J27" s="5">
        <v>16</v>
      </c>
      <c r="K27" s="5" t="b">
        <v>0</v>
      </c>
      <c r="L27" s="5" t="b">
        <v>0</v>
      </c>
      <c r="M27" s="6" t="s">
        <v>68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18</v>
      </c>
      <c r="AD27" s="5">
        <v>0</v>
      </c>
      <c r="AE27" s="5">
        <v>2</v>
      </c>
      <c r="AF27" s="5">
        <v>24</v>
      </c>
      <c r="AG27" s="5">
        <v>0</v>
      </c>
      <c r="AH27" s="5">
        <v>0</v>
      </c>
      <c r="AI27" s="5">
        <v>7</v>
      </c>
      <c r="AJ27" s="5" t="b">
        <v>0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13" t="s">
        <v>87</v>
      </c>
      <c r="AR27" s="5">
        <v>8</v>
      </c>
      <c r="AS27" s="5">
        <v>12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6" t="s">
        <v>68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  <c r="CL27" s="77" t="str">
        <f t="shared" si="0"/>
        <v>BiblioLevel-3Subheadb3</v>
      </c>
    </row>
    <row r="28" spans="1:90">
      <c r="A28" s="76" t="str">
        <f t="shared" si="1"/>
        <v>Biblio Level-4 Subhead (b4)</v>
      </c>
      <c r="B28" s="5"/>
      <c r="C28" s="5" t="s">
        <v>517</v>
      </c>
      <c r="D28" s="5" t="s">
        <v>977</v>
      </c>
      <c r="E28" s="5" t="s">
        <v>88</v>
      </c>
      <c r="F28" s="5">
        <v>1</v>
      </c>
      <c r="G28" s="5" t="b">
        <v>0</v>
      </c>
      <c r="H28" s="5">
        <v>1</v>
      </c>
      <c r="I28" s="5" t="s">
        <v>4</v>
      </c>
      <c r="J28" s="5">
        <v>14</v>
      </c>
      <c r="K28" s="5" t="b">
        <v>0</v>
      </c>
      <c r="L28" s="5" t="b">
        <v>0</v>
      </c>
      <c r="M28" s="6" t="s">
        <v>68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18</v>
      </c>
      <c r="AD28" s="5">
        <v>0</v>
      </c>
      <c r="AE28" s="5">
        <v>2</v>
      </c>
      <c r="AF28" s="5">
        <v>24</v>
      </c>
      <c r="AG28" s="5">
        <v>0</v>
      </c>
      <c r="AH28" s="5">
        <v>0</v>
      </c>
      <c r="AI28" s="5">
        <v>8</v>
      </c>
      <c r="AJ28" s="5" t="b">
        <v>0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13" t="s">
        <v>87</v>
      </c>
      <c r="AR28" s="5">
        <v>15</v>
      </c>
      <c r="AS28" s="5">
        <v>36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6" t="s">
        <v>68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  <c r="CL28" s="77" t="str">
        <f t="shared" si="0"/>
        <v>BiblioLevel-4Subheadb4</v>
      </c>
    </row>
    <row r="29" spans="1:90">
      <c r="A29" s="76" t="str">
        <f t="shared" si="1"/>
        <v>Biblio Level-5 Subhead (b5)</v>
      </c>
      <c r="B29" s="5"/>
      <c r="C29" s="5" t="s">
        <v>518</v>
      </c>
      <c r="D29" s="5" t="s">
        <v>978</v>
      </c>
      <c r="E29" s="5" t="s">
        <v>88</v>
      </c>
      <c r="F29" s="5">
        <v>1</v>
      </c>
      <c r="G29" s="5" t="b">
        <v>0</v>
      </c>
      <c r="H29" s="5">
        <v>1</v>
      </c>
      <c r="I29" s="5" t="s">
        <v>2</v>
      </c>
      <c r="J29" s="5">
        <v>14</v>
      </c>
      <c r="K29" s="5" t="b">
        <v>0</v>
      </c>
      <c r="L29" s="5" t="b">
        <v>0</v>
      </c>
      <c r="M29" s="6" t="s">
        <v>68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18</v>
      </c>
      <c r="AD29" s="5">
        <v>0</v>
      </c>
      <c r="AE29" s="5">
        <v>2</v>
      </c>
      <c r="AF29" s="5">
        <v>24</v>
      </c>
      <c r="AG29" s="5">
        <v>0</v>
      </c>
      <c r="AH29" s="5">
        <v>0</v>
      </c>
      <c r="AI29" s="5">
        <v>9</v>
      </c>
      <c r="AJ29" s="5" t="b">
        <v>0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13" t="s">
        <v>87</v>
      </c>
      <c r="AR29" s="5">
        <v>16</v>
      </c>
      <c r="AS29" s="5">
        <v>36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6" t="s">
        <v>68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  <c r="CL29" s="77" t="str">
        <f t="shared" si="0"/>
        <v>BiblioLevel-5Subheadb5</v>
      </c>
    </row>
    <row r="30" spans="1:90">
      <c r="A30" s="76" t="str">
        <f t="shared" si="1"/>
        <v>Bibliography Text (bibtx)</v>
      </c>
      <c r="B30" s="5"/>
      <c r="C30" s="5" t="s">
        <v>519</v>
      </c>
      <c r="D30" s="5" t="s">
        <v>979</v>
      </c>
      <c r="E30" s="5" t="s">
        <v>88</v>
      </c>
      <c r="F30" s="5">
        <v>1</v>
      </c>
      <c r="G30" s="5" t="b">
        <v>0</v>
      </c>
      <c r="H30" s="5">
        <v>1</v>
      </c>
      <c r="I30" s="5" t="s">
        <v>74</v>
      </c>
      <c r="J30" s="5">
        <v>12</v>
      </c>
      <c r="K30" s="5" t="b">
        <v>0</v>
      </c>
      <c r="L30" s="5" t="b">
        <v>0</v>
      </c>
      <c r="M30" s="6" t="s">
        <v>68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0</v>
      </c>
      <c r="AE30" s="5">
        <v>2</v>
      </c>
      <c r="AF30" s="5">
        <v>24</v>
      </c>
      <c r="AG30" s="5">
        <v>0</v>
      </c>
      <c r="AH30" s="5">
        <v>-36</v>
      </c>
      <c r="AI30" s="5">
        <v>10</v>
      </c>
      <c r="AJ30" s="5" t="b">
        <v>0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13" t="s">
        <v>87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6" t="s">
        <v>68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  <c r="CL30" s="77" t="str">
        <f t="shared" si="0"/>
        <v>BibliographyTextbibtx</v>
      </c>
    </row>
    <row r="31" spans="1:90">
      <c r="A31" s="76" t="str">
        <f t="shared" si="1"/>
        <v>BM Head (bmh)</v>
      </c>
      <c r="B31" s="5"/>
      <c r="C31" s="5" t="s">
        <v>520</v>
      </c>
      <c r="D31" s="5" t="s">
        <v>980</v>
      </c>
      <c r="E31" s="5" t="s">
        <v>94</v>
      </c>
      <c r="F31" s="5">
        <v>1</v>
      </c>
      <c r="G31" s="5" t="b">
        <v>1</v>
      </c>
      <c r="H31" s="5">
        <v>1</v>
      </c>
      <c r="I31" s="5" t="s">
        <v>2</v>
      </c>
      <c r="J31" s="5">
        <v>24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24</v>
      </c>
      <c r="AD31" s="5">
        <v>10</v>
      </c>
      <c r="AE31" s="5">
        <v>2</v>
      </c>
      <c r="AF31" s="5">
        <v>24</v>
      </c>
      <c r="AG31" s="5">
        <v>1</v>
      </c>
      <c r="AH31" s="5">
        <v>0</v>
      </c>
      <c r="AI31" s="5">
        <v>3</v>
      </c>
      <c r="AJ31" s="5" t="b">
        <v>0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14" t="s">
        <v>90</v>
      </c>
      <c r="AR31" s="5">
        <v>2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6" t="s">
        <v>68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  <c r="BN31" s="8" t="s">
        <v>1171</v>
      </c>
      <c r="BT31" s="8" t="b">
        <v>1</v>
      </c>
      <c r="CL31" s="77" t="str">
        <f t="shared" si="0"/>
        <v>BMHeadbmh</v>
      </c>
    </row>
    <row r="32" spans="1:90">
      <c r="A32" s="76" t="str">
        <f t="shared" si="1"/>
        <v>BM Head ALT (abmh)</v>
      </c>
      <c r="B32" s="5"/>
      <c r="C32" s="5" t="s">
        <v>521</v>
      </c>
      <c r="D32" s="5" t="s">
        <v>981</v>
      </c>
      <c r="E32" s="5" t="s">
        <v>93</v>
      </c>
      <c r="F32" s="5">
        <v>1</v>
      </c>
      <c r="G32" s="5" t="b">
        <v>0</v>
      </c>
      <c r="H32" s="5">
        <v>1</v>
      </c>
      <c r="I32" s="5" t="s">
        <v>2</v>
      </c>
      <c r="J32" s="5">
        <v>24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10</v>
      </c>
      <c r="AE32" s="5">
        <v>2</v>
      </c>
      <c r="AF32" s="5">
        <v>24</v>
      </c>
      <c r="AG32" s="5">
        <v>1</v>
      </c>
      <c r="AH32" s="5">
        <v>0</v>
      </c>
      <c r="AI32" s="5">
        <v>3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14" t="s">
        <v>90</v>
      </c>
      <c r="AR32" s="5">
        <v>18</v>
      </c>
      <c r="AS32" s="5">
        <v>12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  <c r="BN32" s="8" t="s">
        <v>1171</v>
      </c>
      <c r="BT32" s="8" t="b">
        <v>1</v>
      </c>
      <c r="CL32" s="77" t="str">
        <f t="shared" si="0"/>
        <v>BMHeadALTabmh</v>
      </c>
    </row>
    <row r="33" spans="1:90">
      <c r="A33" s="76" t="str">
        <f t="shared" si="1"/>
        <v>BM Head Nonprinting (bmhnp)</v>
      </c>
      <c r="B33" s="5"/>
      <c r="C33" s="5" t="s">
        <v>522</v>
      </c>
      <c r="D33" s="5" t="s">
        <v>982</v>
      </c>
      <c r="E33" s="5" t="s">
        <v>94</v>
      </c>
      <c r="F33" s="5">
        <v>1</v>
      </c>
      <c r="G33" s="5" t="b">
        <v>0</v>
      </c>
      <c r="H33" s="5">
        <v>1</v>
      </c>
      <c r="I33" s="5" t="s">
        <v>84</v>
      </c>
      <c r="J33" s="5">
        <v>24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24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14" t="s">
        <v>90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15" t="s">
        <v>372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  <c r="BN33" s="8" t="s">
        <v>1171</v>
      </c>
      <c r="BT33" s="8" t="b">
        <v>1</v>
      </c>
      <c r="CL33" s="77" t="str">
        <f t="shared" si="0"/>
        <v>BMHeadNonprintingbmhnp</v>
      </c>
    </row>
    <row r="34" spans="1:90">
      <c r="A34" s="76" t="str">
        <f t="shared" si="1"/>
        <v>BM Subhead (bmsh)</v>
      </c>
      <c r="B34" s="5"/>
      <c r="C34" s="5" t="s">
        <v>523</v>
      </c>
      <c r="D34" s="5" t="s">
        <v>983</v>
      </c>
      <c r="E34" s="5" t="s">
        <v>94</v>
      </c>
      <c r="F34" s="5">
        <v>1</v>
      </c>
      <c r="G34" s="5" t="b">
        <v>0</v>
      </c>
      <c r="H34" s="5">
        <v>1</v>
      </c>
      <c r="I34" s="5" t="s">
        <v>74</v>
      </c>
      <c r="J34" s="5">
        <v>18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10</v>
      </c>
      <c r="AE34" s="5">
        <v>2</v>
      </c>
      <c r="AF34" s="5">
        <v>24</v>
      </c>
      <c r="AG34" s="5">
        <v>1</v>
      </c>
      <c r="AH34" s="5">
        <v>0</v>
      </c>
      <c r="AI34" s="5">
        <v>4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14" t="s">
        <v>90</v>
      </c>
      <c r="AR34" s="5">
        <v>8</v>
      </c>
      <c r="AS34" s="5">
        <v>12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  <c r="CL34" s="77" t="str">
        <f t="shared" si="0"/>
        <v>BMSubheadbmsh</v>
      </c>
    </row>
    <row r="35" spans="1:90">
      <c r="A35" s="76" t="str">
        <f t="shared" si="1"/>
        <v>BM Text (bmtx)</v>
      </c>
      <c r="B35" s="5"/>
      <c r="C35" s="5" t="s">
        <v>524</v>
      </c>
      <c r="D35" s="5" t="s">
        <v>984</v>
      </c>
      <c r="E35" s="5" t="s">
        <v>91</v>
      </c>
      <c r="F35" s="5">
        <v>1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0</v>
      </c>
      <c r="AE35" s="5">
        <v>2</v>
      </c>
      <c r="AF35" s="5">
        <v>24</v>
      </c>
      <c r="AG35" s="5">
        <v>0</v>
      </c>
      <c r="AH35" s="5">
        <v>36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4" t="s">
        <v>90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  <c r="CL35" s="77" t="str">
        <f t="shared" si="0"/>
        <v>BMTextbmtx</v>
      </c>
    </row>
    <row r="36" spans="1:90">
      <c r="A36" s="76" t="str">
        <f t="shared" si="1"/>
        <v>BM Text ALT (abmtx)</v>
      </c>
      <c r="B36" s="5"/>
      <c r="C36" s="5" t="s">
        <v>525</v>
      </c>
      <c r="D36" s="5" t="s">
        <v>985</v>
      </c>
      <c r="E36" s="5" t="s">
        <v>92</v>
      </c>
      <c r="F36" s="5">
        <v>1</v>
      </c>
      <c r="G36" s="5" t="b">
        <v>0</v>
      </c>
      <c r="H36" s="5">
        <v>1</v>
      </c>
      <c r="I36" s="5" t="s">
        <v>2</v>
      </c>
      <c r="J36" s="5">
        <v>11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0</v>
      </c>
      <c r="AE36" s="5">
        <v>2</v>
      </c>
      <c r="AF36" s="5">
        <v>24</v>
      </c>
      <c r="AG36" s="5">
        <v>0</v>
      </c>
      <c r="AH36" s="5">
        <v>36</v>
      </c>
      <c r="AI36" s="5">
        <v>10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4" t="s">
        <v>90</v>
      </c>
      <c r="AR36" s="5">
        <v>15</v>
      </c>
      <c r="AS36" s="5">
        <v>36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  <c r="CL36" s="77" t="str">
        <f t="shared" si="0"/>
        <v>BMTextALTabmtx</v>
      </c>
    </row>
    <row r="37" spans="1:90">
      <c r="A37" s="76" t="str">
        <f t="shared" si="1"/>
        <v>BM Text ALT No-Indent (abmtx1)</v>
      </c>
      <c r="B37" s="5"/>
      <c r="C37" s="5" t="s">
        <v>526</v>
      </c>
      <c r="D37" s="5" t="s">
        <v>986</v>
      </c>
      <c r="E37" s="5" t="s">
        <v>92</v>
      </c>
      <c r="F37" s="5">
        <v>1</v>
      </c>
      <c r="G37" s="5" t="b">
        <v>0</v>
      </c>
      <c r="H37" s="5">
        <v>1</v>
      </c>
      <c r="I37" s="5" t="s">
        <v>2</v>
      </c>
      <c r="J37" s="5">
        <v>11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0</v>
      </c>
      <c r="AE37" s="5">
        <v>2</v>
      </c>
      <c r="AF37" s="5">
        <v>24</v>
      </c>
      <c r="AG37" s="5">
        <v>0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4" t="s">
        <v>90</v>
      </c>
      <c r="AR37" s="5">
        <v>16</v>
      </c>
      <c r="AS37" s="5">
        <v>36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  <c r="CL37" s="77" t="str">
        <f t="shared" si="0"/>
        <v>BMTextALTNo-Indentabmtx1</v>
      </c>
    </row>
    <row r="38" spans="1:90">
      <c r="A38" s="76" t="str">
        <f t="shared" si="1"/>
        <v>BM Text No-Indent (bmtx1)</v>
      </c>
      <c r="B38" s="5"/>
      <c r="C38" s="5" t="s">
        <v>527</v>
      </c>
      <c r="D38" s="5" t="s">
        <v>987</v>
      </c>
      <c r="E38" s="5" t="s">
        <v>91</v>
      </c>
      <c r="F38" s="5">
        <v>1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6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4" t="s">
        <v>90</v>
      </c>
      <c r="AR38" s="5">
        <v>7</v>
      </c>
      <c r="AS38" s="5">
        <v>18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  <c r="CL38" s="77" t="str">
        <f t="shared" si="0"/>
        <v>BMTextNo-Indentbmtx1</v>
      </c>
    </row>
    <row r="39" spans="1:90">
      <c r="A39" s="76" t="str">
        <f t="shared" si="1"/>
        <v>BM Text No-Indent Space After (bmtx1#)</v>
      </c>
      <c r="B39" s="5"/>
      <c r="C39" s="5" t="s">
        <v>528</v>
      </c>
      <c r="D39" s="5" t="s">
        <v>988</v>
      </c>
      <c r="E39" s="5" t="s">
        <v>91</v>
      </c>
      <c r="F39" s="5">
        <v>1</v>
      </c>
      <c r="G39" s="5" t="b">
        <v>0</v>
      </c>
      <c r="H39" s="5">
        <v>1</v>
      </c>
      <c r="I39" s="5" t="s">
        <v>74</v>
      </c>
      <c r="J39" s="5">
        <v>12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18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4" t="s">
        <v>90</v>
      </c>
      <c r="AR39" s="5">
        <v>7</v>
      </c>
      <c r="AS39" s="5">
        <v>2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  <c r="CL39" s="77" t="str">
        <f t="shared" si="0"/>
        <v>BMTextNo-IndentSpaceAfterbmtx1</v>
      </c>
    </row>
    <row r="40" spans="1:90">
      <c r="A40" s="76" t="str">
        <f t="shared" si="1"/>
        <v>BM Text No-Indent Space Around (#bmtx1#)</v>
      </c>
      <c r="B40" s="5"/>
      <c r="C40" s="5" t="s">
        <v>529</v>
      </c>
      <c r="D40" s="5" t="s">
        <v>989</v>
      </c>
      <c r="E40" s="5" t="s">
        <v>91</v>
      </c>
      <c r="F40" s="5">
        <v>1</v>
      </c>
      <c r="G40" s="5" t="b">
        <v>0</v>
      </c>
      <c r="H40" s="5">
        <v>1</v>
      </c>
      <c r="I40" s="5" t="s">
        <v>74</v>
      </c>
      <c r="J40" s="5">
        <v>12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18</v>
      </c>
      <c r="AE40" s="5">
        <v>2</v>
      </c>
      <c r="AF40" s="5">
        <v>24</v>
      </c>
      <c r="AG40" s="5">
        <v>0</v>
      </c>
      <c r="AH40" s="5">
        <v>0</v>
      </c>
      <c r="AI40" s="5">
        <v>10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4" t="s">
        <v>90</v>
      </c>
      <c r="AR40" s="5">
        <v>7</v>
      </c>
      <c r="AS40" s="5">
        <v>24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  <c r="CL40" s="77" t="str">
        <f t="shared" si="0"/>
        <v>BMTextNo-IndentSpaceAroundbmtx1</v>
      </c>
    </row>
    <row r="41" spans="1:90">
      <c r="A41" s="76" t="str">
        <f t="shared" si="1"/>
        <v>BM Text No-Indent Space Before (#bmtx1)</v>
      </c>
      <c r="B41" s="5"/>
      <c r="C41" s="5" t="s">
        <v>530</v>
      </c>
      <c r="D41" s="5" t="s">
        <v>990</v>
      </c>
      <c r="E41" s="5" t="s">
        <v>91</v>
      </c>
      <c r="F41" s="5">
        <v>1</v>
      </c>
      <c r="G41" s="5" t="b">
        <v>0</v>
      </c>
      <c r="H41" s="5">
        <v>1</v>
      </c>
      <c r="I41" s="5" t="s">
        <v>74</v>
      </c>
      <c r="J41" s="5">
        <v>12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10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4" t="s">
        <v>90</v>
      </c>
      <c r="AR41" s="5">
        <v>7</v>
      </c>
      <c r="AS41" s="5">
        <v>6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  <c r="CL41" s="77" t="str">
        <f t="shared" si="0"/>
        <v>BMTextNo-IndentSpaceBeforebmtx1</v>
      </c>
    </row>
    <row r="42" spans="1:90">
      <c r="A42" s="76" t="str">
        <f t="shared" si="1"/>
        <v>BM Text Space After (bmtx#)</v>
      </c>
      <c r="B42" s="5"/>
      <c r="C42" s="5" t="s">
        <v>531</v>
      </c>
      <c r="D42" s="5" t="s">
        <v>991</v>
      </c>
      <c r="E42" s="5" t="s">
        <v>91</v>
      </c>
      <c r="F42" s="5">
        <v>1</v>
      </c>
      <c r="G42" s="5" t="b">
        <v>0</v>
      </c>
      <c r="H42" s="5">
        <v>1</v>
      </c>
      <c r="I42" s="5" t="s">
        <v>74</v>
      </c>
      <c r="J42" s="5">
        <v>12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0</v>
      </c>
      <c r="AD42" s="5">
        <v>18</v>
      </c>
      <c r="AE42" s="5">
        <v>2</v>
      </c>
      <c r="AF42" s="5">
        <v>24</v>
      </c>
      <c r="AG42" s="5">
        <v>0</v>
      </c>
      <c r="AH42" s="5">
        <v>36</v>
      </c>
      <c r="AI42" s="5">
        <v>10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4" t="s">
        <v>90</v>
      </c>
      <c r="AR42" s="5">
        <v>1</v>
      </c>
      <c r="AS42" s="5">
        <v>2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  <c r="CL42" s="77" t="str">
        <f t="shared" si="0"/>
        <v>BMTextSpaceAfterbmtx</v>
      </c>
    </row>
    <row r="43" spans="1:90">
      <c r="A43" s="76" t="str">
        <f t="shared" si="1"/>
        <v>BM Text Space Around (#bmtx#)</v>
      </c>
      <c r="B43" s="5"/>
      <c r="C43" s="5" t="s">
        <v>532</v>
      </c>
      <c r="D43" s="5" t="s">
        <v>992</v>
      </c>
      <c r="E43" s="5" t="s">
        <v>91</v>
      </c>
      <c r="F43" s="5">
        <v>1</v>
      </c>
      <c r="G43" s="5" t="b">
        <v>0</v>
      </c>
      <c r="H43" s="5">
        <v>1</v>
      </c>
      <c r="I43" s="5" t="s">
        <v>74</v>
      </c>
      <c r="J43" s="5">
        <v>12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18</v>
      </c>
      <c r="AE43" s="5">
        <v>2</v>
      </c>
      <c r="AF43" s="5">
        <v>24</v>
      </c>
      <c r="AG43" s="5">
        <v>0</v>
      </c>
      <c r="AH43" s="5">
        <v>36</v>
      </c>
      <c r="AI43" s="5">
        <v>10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4" t="s">
        <v>90</v>
      </c>
      <c r="AR43" s="5">
        <v>1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  <c r="CL43" s="77" t="str">
        <f t="shared" si="0"/>
        <v>BMTextSpaceAroundbmtx</v>
      </c>
    </row>
    <row r="44" spans="1:90">
      <c r="A44" s="76" t="str">
        <f t="shared" si="1"/>
        <v>BM Text Space Before (#bmtx)</v>
      </c>
      <c r="B44" s="5"/>
      <c r="C44" s="5" t="s">
        <v>533</v>
      </c>
      <c r="D44" s="5" t="s">
        <v>993</v>
      </c>
      <c r="E44" s="5" t="s">
        <v>91</v>
      </c>
      <c r="F44" s="5">
        <v>1</v>
      </c>
      <c r="G44" s="5" t="b">
        <v>0</v>
      </c>
      <c r="H44" s="5">
        <v>1</v>
      </c>
      <c r="I44" s="5" t="s">
        <v>74</v>
      </c>
      <c r="J44" s="5">
        <v>12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36</v>
      </c>
      <c r="AI44" s="5">
        <v>10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4" t="s">
        <v>90</v>
      </c>
      <c r="AR44" s="5">
        <v>1</v>
      </c>
      <c r="AS44" s="5">
        <v>18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  <c r="CL44" s="77" t="str">
        <f t="shared" si="0"/>
        <v>BMTextSpaceBeforebmtx</v>
      </c>
    </row>
    <row r="45" spans="1:90">
      <c r="A45" s="76" t="str">
        <f t="shared" si="1"/>
        <v>BM Title (bmt)</v>
      </c>
      <c r="B45" s="5"/>
      <c r="C45" s="5" t="s">
        <v>534</v>
      </c>
      <c r="D45" s="5" t="s">
        <v>994</v>
      </c>
      <c r="E45" s="5" t="s">
        <v>94</v>
      </c>
      <c r="F45" s="5">
        <v>1</v>
      </c>
      <c r="G45" s="5" t="b">
        <v>0</v>
      </c>
      <c r="H45" s="5">
        <v>1</v>
      </c>
      <c r="I45" s="5" t="s">
        <v>84</v>
      </c>
      <c r="J45" s="5">
        <v>18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24</v>
      </c>
      <c r="AD45" s="5">
        <v>10</v>
      </c>
      <c r="AE45" s="5">
        <v>2</v>
      </c>
      <c r="AF45" s="5">
        <v>24</v>
      </c>
      <c r="AG45" s="5">
        <v>1</v>
      </c>
      <c r="AH45" s="5">
        <v>0</v>
      </c>
      <c r="AI45" s="5">
        <v>3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4" t="s">
        <v>90</v>
      </c>
      <c r="AR45" s="5">
        <v>5</v>
      </c>
      <c r="AS45" s="5">
        <v>18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  <c r="CL45" s="77" t="str">
        <f t="shared" si="0"/>
        <v>BMTitlebmt</v>
      </c>
    </row>
    <row r="46" spans="1:90">
      <c r="A46" s="76" t="str">
        <f t="shared" si="1"/>
        <v>BOB Ad Imprint (bobimp)</v>
      </c>
      <c r="B46" s="5"/>
      <c r="C46" s="5" t="s">
        <v>535</v>
      </c>
      <c r="D46" s="5" t="s">
        <v>995</v>
      </c>
      <c r="E46" s="5" t="s">
        <v>95</v>
      </c>
      <c r="F46" s="5">
        <v>1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0</v>
      </c>
      <c r="Y46" s="5" t="b">
        <v>0</v>
      </c>
      <c r="Z46" s="5" t="b">
        <v>0</v>
      </c>
      <c r="AA46" s="5">
        <v>0</v>
      </c>
      <c r="AB46" s="5">
        <v>0</v>
      </c>
      <c r="AC46" s="5">
        <v>0</v>
      </c>
      <c r="AD46" s="5">
        <v>0</v>
      </c>
      <c r="AE46" s="5">
        <v>2</v>
      </c>
      <c r="AF46" s="5">
        <v>24</v>
      </c>
      <c r="AG46" s="5">
        <v>1</v>
      </c>
      <c r="AH46" s="5">
        <v>0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9" t="s">
        <v>71</v>
      </c>
      <c r="AR46" s="5">
        <v>3</v>
      </c>
      <c r="AS46" s="5">
        <v>18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0</v>
      </c>
      <c r="BM46" s="5" t="b">
        <v>0</v>
      </c>
      <c r="CL46" s="77" t="str">
        <f t="shared" si="0"/>
        <v>BOBAdImprintbobimp</v>
      </c>
    </row>
    <row r="47" spans="1:90">
      <c r="A47" s="76" t="str">
        <f t="shared" si="1"/>
        <v>BOB Ad Level-1 Subhead (bobh1)</v>
      </c>
      <c r="B47" s="5"/>
      <c r="C47" s="5" t="s">
        <v>536</v>
      </c>
      <c r="D47" s="5" t="s">
        <v>996</v>
      </c>
      <c r="E47" s="76" t="s">
        <v>99</v>
      </c>
      <c r="F47" s="5">
        <v>1</v>
      </c>
      <c r="G47" s="5" t="b">
        <v>0</v>
      </c>
      <c r="H47" s="5">
        <v>1</v>
      </c>
      <c r="I47" s="5" t="s">
        <v>4</v>
      </c>
      <c r="J47" s="5">
        <v>16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0</v>
      </c>
      <c r="Y47" s="5" t="b">
        <v>0</v>
      </c>
      <c r="Z47" s="5" t="b">
        <v>0</v>
      </c>
      <c r="AA47" s="5">
        <v>0</v>
      </c>
      <c r="AB47" s="5">
        <v>0</v>
      </c>
      <c r="AC47" s="5">
        <v>18</v>
      </c>
      <c r="AD47" s="5">
        <v>0</v>
      </c>
      <c r="AE47" s="5">
        <v>2</v>
      </c>
      <c r="AF47" s="5">
        <v>24</v>
      </c>
      <c r="AG47" s="5">
        <v>0</v>
      </c>
      <c r="AH47" s="5">
        <v>0</v>
      </c>
      <c r="AI47" s="5">
        <v>5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9" t="s">
        <v>71</v>
      </c>
      <c r="AR47" s="5">
        <v>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  <c r="CL47" s="77" t="str">
        <f t="shared" si="0"/>
        <v>BOBAdLevel-1Subheadbobh1</v>
      </c>
    </row>
    <row r="48" spans="1:90">
      <c r="A48" s="76" t="str">
        <f t="shared" si="1"/>
        <v>BOB Ad Level-2 Subhead (bobh2)</v>
      </c>
      <c r="B48" s="5"/>
      <c r="C48" s="5" t="s">
        <v>537</v>
      </c>
      <c r="D48" s="5" t="s">
        <v>997</v>
      </c>
      <c r="E48" s="76" t="s">
        <v>99</v>
      </c>
      <c r="F48" s="5">
        <v>1</v>
      </c>
      <c r="G48" s="5" t="b">
        <v>0</v>
      </c>
      <c r="H48" s="5">
        <v>1</v>
      </c>
      <c r="I48" s="5" t="s">
        <v>2</v>
      </c>
      <c r="J48" s="5">
        <v>16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0</v>
      </c>
      <c r="Y48" s="5" t="b">
        <v>0</v>
      </c>
      <c r="Z48" s="5" t="b">
        <v>0</v>
      </c>
      <c r="AA48" s="5">
        <v>0</v>
      </c>
      <c r="AB48" s="5">
        <v>0</v>
      </c>
      <c r="AC48" s="5">
        <v>18</v>
      </c>
      <c r="AD48" s="5">
        <v>0</v>
      </c>
      <c r="AE48" s="5">
        <v>2</v>
      </c>
      <c r="AF48" s="5">
        <v>24</v>
      </c>
      <c r="AG48" s="5">
        <v>0</v>
      </c>
      <c r="AH48" s="5">
        <v>0</v>
      </c>
      <c r="AI48" s="5">
        <v>6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9" t="s">
        <v>71</v>
      </c>
      <c r="AR48" s="5">
        <v>15</v>
      </c>
      <c r="AS48" s="5">
        <v>36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  <c r="CL48" s="77" t="str">
        <f t="shared" si="0"/>
        <v>BOBAdLevel-2Subheadbobh2</v>
      </c>
    </row>
    <row r="49" spans="1:90">
      <c r="A49" s="76" t="str">
        <f t="shared" si="1"/>
        <v>BOB Ad Level-3 Subhead (bobh3)</v>
      </c>
      <c r="B49" s="5"/>
      <c r="C49" s="5" t="s">
        <v>538</v>
      </c>
      <c r="D49" s="5" t="s">
        <v>998</v>
      </c>
      <c r="E49" s="76" t="s">
        <v>99</v>
      </c>
      <c r="F49" s="5">
        <v>1</v>
      </c>
      <c r="G49" s="5" t="b">
        <v>0</v>
      </c>
      <c r="H49" s="5">
        <v>1</v>
      </c>
      <c r="I49" s="5" t="s">
        <v>84</v>
      </c>
      <c r="J49" s="5">
        <v>16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18</v>
      </c>
      <c r="AD49" s="5">
        <v>0</v>
      </c>
      <c r="AE49" s="5">
        <v>2</v>
      </c>
      <c r="AF49" s="5">
        <v>24</v>
      </c>
      <c r="AG49" s="5">
        <v>0</v>
      </c>
      <c r="AH49" s="5">
        <v>0</v>
      </c>
      <c r="AI49" s="5">
        <v>7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9" t="s">
        <v>71</v>
      </c>
      <c r="AR49" s="5">
        <v>16</v>
      </c>
      <c r="AS49" s="5">
        <v>36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  <c r="CL49" s="77" t="str">
        <f t="shared" si="0"/>
        <v>BOBAdLevel-3Subheadbobh3</v>
      </c>
    </row>
    <row r="50" spans="1:90">
      <c r="A50" s="76" t="str">
        <f t="shared" si="1"/>
        <v>BOB Ad Level-4 Subhead (bobh4)</v>
      </c>
      <c r="B50" s="5"/>
      <c r="C50" s="5" t="s">
        <v>539</v>
      </c>
      <c r="D50" s="5" t="s">
        <v>999</v>
      </c>
      <c r="E50" s="76" t="s">
        <v>99</v>
      </c>
      <c r="F50" s="5">
        <v>1</v>
      </c>
      <c r="G50" s="5" t="b">
        <v>0</v>
      </c>
      <c r="H50" s="5">
        <v>1</v>
      </c>
      <c r="I50" s="5" t="s">
        <v>4</v>
      </c>
      <c r="J50" s="5">
        <v>14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18</v>
      </c>
      <c r="AD50" s="5">
        <v>0</v>
      </c>
      <c r="AE50" s="5">
        <v>2</v>
      </c>
      <c r="AF50" s="5">
        <v>24</v>
      </c>
      <c r="AG50" s="5">
        <v>0</v>
      </c>
      <c r="AH50" s="5">
        <v>0</v>
      </c>
      <c r="AI50" s="5">
        <v>8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9" t="s">
        <v>71</v>
      </c>
      <c r="AR50" s="5">
        <v>1</v>
      </c>
      <c r="AS50" s="5">
        <v>2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  <c r="CL50" s="77" t="str">
        <f t="shared" si="0"/>
        <v>BOBAdLevel-4Subheadbobh4</v>
      </c>
    </row>
    <row r="51" spans="1:90">
      <c r="A51" s="76" t="str">
        <f t="shared" si="1"/>
        <v>BOB Ad Level-5 Subhead (bobh5)</v>
      </c>
      <c r="B51" s="5"/>
      <c r="C51" s="5" t="s">
        <v>540</v>
      </c>
      <c r="D51" s="5" t="s">
        <v>1000</v>
      </c>
      <c r="E51" s="76" t="s">
        <v>99</v>
      </c>
      <c r="F51" s="5">
        <v>1</v>
      </c>
      <c r="G51" s="5" t="b">
        <v>0</v>
      </c>
      <c r="H51" s="5">
        <v>1</v>
      </c>
      <c r="I51" s="5" t="s">
        <v>2</v>
      </c>
      <c r="J51" s="5">
        <v>14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18</v>
      </c>
      <c r="AD51" s="5">
        <v>0</v>
      </c>
      <c r="AE51" s="5">
        <v>2</v>
      </c>
      <c r="AF51" s="5">
        <v>24</v>
      </c>
      <c r="AG51" s="5">
        <v>0</v>
      </c>
      <c r="AH51" s="5">
        <v>0</v>
      </c>
      <c r="AI51" s="5">
        <v>9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9" t="s">
        <v>71</v>
      </c>
      <c r="AR51" s="5">
        <v>1</v>
      </c>
      <c r="AS51" s="5">
        <v>2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  <c r="CL51" s="77" t="str">
        <f t="shared" si="0"/>
        <v>BOBAdLevel-5Subheadbobh5</v>
      </c>
    </row>
    <row r="52" spans="1:90">
      <c r="A52" s="76" t="str">
        <f t="shared" si="1"/>
        <v>BOB Ad Quote (bobq)</v>
      </c>
      <c r="B52" s="5"/>
      <c r="C52" s="5" t="s">
        <v>541</v>
      </c>
      <c r="D52" s="5" t="s">
        <v>1001</v>
      </c>
      <c r="E52" s="5" t="s">
        <v>96</v>
      </c>
      <c r="F52" s="5">
        <v>1</v>
      </c>
      <c r="G52" s="5" t="b">
        <v>0</v>
      </c>
      <c r="H52" s="5">
        <v>1</v>
      </c>
      <c r="I52" s="5" t="s">
        <v>2</v>
      </c>
      <c r="J52" s="5">
        <v>11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10</v>
      </c>
      <c r="AE52" s="5">
        <v>2</v>
      </c>
      <c r="AF52" s="5">
        <v>24</v>
      </c>
      <c r="AG52" s="5">
        <v>0</v>
      </c>
      <c r="AH52" s="5">
        <v>36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9" t="s">
        <v>71</v>
      </c>
      <c r="AR52" s="5">
        <v>7</v>
      </c>
      <c r="AS52" s="5">
        <v>6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  <c r="BP52" s="8" t="s">
        <v>1471</v>
      </c>
      <c r="BU52" s="8" t="b">
        <v>1</v>
      </c>
      <c r="CL52" s="77" t="str">
        <f t="shared" si="0"/>
        <v>BOBAdQuotebobq</v>
      </c>
    </row>
    <row r="53" spans="1:90">
      <c r="A53" s="76" t="str">
        <f t="shared" si="1"/>
        <v>BOB Ad Quote Head (bobqh)</v>
      </c>
      <c r="B53" s="5"/>
      <c r="C53" s="5" t="s">
        <v>542</v>
      </c>
      <c r="D53" s="5" t="s">
        <v>1002</v>
      </c>
      <c r="E53" s="5" t="s">
        <v>97</v>
      </c>
      <c r="F53" s="5">
        <v>1</v>
      </c>
      <c r="G53" s="5" t="b">
        <v>0</v>
      </c>
      <c r="H53" s="5">
        <v>1</v>
      </c>
      <c r="I53" s="5" t="s">
        <v>4</v>
      </c>
      <c r="J53" s="5">
        <v>11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0</v>
      </c>
      <c r="AD53" s="5">
        <v>10</v>
      </c>
      <c r="AE53" s="5">
        <v>2</v>
      </c>
      <c r="AF53" s="5">
        <v>24</v>
      </c>
      <c r="AG53" s="5">
        <v>1</v>
      </c>
      <c r="AH53" s="5">
        <v>0</v>
      </c>
      <c r="AI53" s="5">
        <v>10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9" t="s">
        <v>71</v>
      </c>
      <c r="AR53" s="5">
        <v>1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  <c r="BP53" s="8" t="s">
        <v>1471</v>
      </c>
      <c r="BU53" s="8" t="b">
        <v>1</v>
      </c>
      <c r="CL53" s="77" t="str">
        <f t="shared" si="0"/>
        <v>BOBAdQuoteHeadbobqh</v>
      </c>
    </row>
    <row r="54" spans="1:90">
      <c r="A54" s="76" t="str">
        <f t="shared" si="1"/>
        <v>BOB Ad Quote No-Indent (bobq1)</v>
      </c>
      <c r="B54" s="5"/>
      <c r="C54" s="5" t="s">
        <v>543</v>
      </c>
      <c r="D54" s="5" t="s">
        <v>1003</v>
      </c>
      <c r="E54" s="5" t="s">
        <v>96</v>
      </c>
      <c r="F54" s="5">
        <v>1</v>
      </c>
      <c r="G54" s="5" t="b">
        <v>0</v>
      </c>
      <c r="H54" s="5">
        <v>1</v>
      </c>
      <c r="I54" s="5" t="s">
        <v>2</v>
      </c>
      <c r="J54" s="5">
        <v>11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6</v>
      </c>
      <c r="AD54" s="5">
        <v>10</v>
      </c>
      <c r="AE54" s="5">
        <v>2</v>
      </c>
      <c r="AF54" s="5">
        <v>24</v>
      </c>
      <c r="AG54" s="5">
        <v>0</v>
      </c>
      <c r="AH54" s="5">
        <v>0</v>
      </c>
      <c r="AI54" s="5">
        <v>10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9" t="s">
        <v>71</v>
      </c>
      <c r="AR54" s="5">
        <v>18</v>
      </c>
      <c r="AS54" s="5">
        <v>12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  <c r="BP54" s="8" t="s">
        <v>1471</v>
      </c>
      <c r="BU54" s="8" t="b">
        <v>1</v>
      </c>
      <c r="CL54" s="77" t="str">
        <f t="shared" si="0"/>
        <v>BOBAdQuoteNo-Indentbobq1</v>
      </c>
    </row>
    <row r="55" spans="1:90">
      <c r="A55" s="76" t="str">
        <f t="shared" si="1"/>
        <v>BOB Ad Quote Source (bobqs)</v>
      </c>
      <c r="B55" s="5"/>
      <c r="C55" s="5" t="s">
        <v>544</v>
      </c>
      <c r="D55" s="5" t="s">
        <v>1004</v>
      </c>
      <c r="E55" s="5" t="s">
        <v>99</v>
      </c>
      <c r="F55" s="5">
        <v>1</v>
      </c>
      <c r="G55" s="5" t="b">
        <v>0</v>
      </c>
      <c r="H55" s="5">
        <v>1</v>
      </c>
      <c r="I55" s="5" t="s">
        <v>74</v>
      </c>
      <c r="J55" s="5">
        <v>12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0</v>
      </c>
      <c r="AD55" s="5">
        <v>0</v>
      </c>
      <c r="AE55" s="5">
        <v>2</v>
      </c>
      <c r="AF55" s="5">
        <v>24</v>
      </c>
      <c r="AG55" s="5">
        <v>2</v>
      </c>
      <c r="AH55" s="5">
        <v>0</v>
      </c>
      <c r="AI55" s="5">
        <v>10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9" t="s">
        <v>71</v>
      </c>
      <c r="AR55" s="5">
        <v>19</v>
      </c>
      <c r="AS55" s="5">
        <v>6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  <c r="BP55" s="8" t="s">
        <v>1471</v>
      </c>
      <c r="BU55" s="8" t="b">
        <v>1</v>
      </c>
      <c r="CL55" s="77" t="str">
        <f t="shared" si="0"/>
        <v>BOBAdQuoteSourcebobqs</v>
      </c>
    </row>
    <row r="56" spans="1:90">
      <c r="A56" s="76" t="str">
        <f t="shared" si="1"/>
        <v>BOB Ad Subtitle (bobst)</v>
      </c>
      <c r="B56" s="5"/>
      <c r="C56" s="5" t="s">
        <v>545</v>
      </c>
      <c r="D56" s="5" t="s">
        <v>1005</v>
      </c>
      <c r="E56" s="5" t="s">
        <v>99</v>
      </c>
      <c r="F56" s="5">
        <v>1</v>
      </c>
      <c r="G56" s="5" t="b">
        <v>0</v>
      </c>
      <c r="H56" s="5">
        <v>1</v>
      </c>
      <c r="I56" s="5" t="s">
        <v>74</v>
      </c>
      <c r="J56" s="5">
        <v>18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0</v>
      </c>
      <c r="AD56" s="5">
        <v>10</v>
      </c>
      <c r="AE56" s="5">
        <v>2</v>
      </c>
      <c r="AF56" s="5">
        <v>24</v>
      </c>
      <c r="AG56" s="5">
        <v>1</v>
      </c>
      <c r="AH56" s="5">
        <v>0</v>
      </c>
      <c r="AI56" s="5">
        <v>4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9" t="s">
        <v>71</v>
      </c>
      <c r="AR56" s="5">
        <v>1</v>
      </c>
      <c r="AS56" s="5">
        <v>2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  <c r="CL56" s="77" t="str">
        <f t="shared" si="0"/>
        <v>BOBAdSubtitlebobst</v>
      </c>
    </row>
    <row r="57" spans="1:90">
      <c r="A57" s="76" t="str">
        <f t="shared" si="1"/>
        <v>BOB Ad Text (bobtx)</v>
      </c>
      <c r="B57" s="5"/>
      <c r="C57" s="5" t="s">
        <v>546</v>
      </c>
      <c r="D57" s="5" t="s">
        <v>1006</v>
      </c>
      <c r="E57" s="5" t="s">
        <v>98</v>
      </c>
      <c r="F57" s="5">
        <v>1</v>
      </c>
      <c r="G57" s="5" t="b">
        <v>0</v>
      </c>
      <c r="H57" s="5">
        <v>1</v>
      </c>
      <c r="I57" s="5" t="s">
        <v>74</v>
      </c>
      <c r="J57" s="5">
        <v>12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0</v>
      </c>
      <c r="AD57" s="5">
        <v>0</v>
      </c>
      <c r="AE57" s="5">
        <v>2</v>
      </c>
      <c r="AF57" s="5">
        <v>24</v>
      </c>
      <c r="AG57" s="5">
        <v>0</v>
      </c>
      <c r="AH57" s="5">
        <v>36</v>
      </c>
      <c r="AI57" s="5">
        <v>10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9" t="s">
        <v>71</v>
      </c>
      <c r="AR57" s="5">
        <v>1</v>
      </c>
      <c r="AS57" s="5">
        <v>48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  <c r="CL57" s="77" t="str">
        <f t="shared" si="0"/>
        <v>BOBAdTextbobtx</v>
      </c>
    </row>
    <row r="58" spans="1:90">
      <c r="A58" s="76" t="str">
        <f t="shared" si="1"/>
        <v>BOB Ad Text No-Indent (bobtx1)</v>
      </c>
      <c r="B58" s="5"/>
      <c r="C58" s="5" t="s">
        <v>547</v>
      </c>
      <c r="D58" s="5" t="s">
        <v>1007</v>
      </c>
      <c r="E58" s="5" t="s">
        <v>98</v>
      </c>
      <c r="F58" s="5">
        <v>1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6</v>
      </c>
      <c r="AD58" s="5">
        <v>0</v>
      </c>
      <c r="AE58" s="5">
        <v>2</v>
      </c>
      <c r="AF58" s="5">
        <v>24</v>
      </c>
      <c r="AG58" s="5">
        <v>0</v>
      </c>
      <c r="AH58" s="5">
        <v>0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9" t="s">
        <v>71</v>
      </c>
      <c r="AR58" s="5">
        <v>7</v>
      </c>
      <c r="AS58" s="5">
        <v>18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  <c r="CL58" s="77" t="str">
        <f t="shared" si="0"/>
        <v>BOBAdTextNo-Indentbobtx1</v>
      </c>
    </row>
    <row r="59" spans="1:90">
      <c r="A59" s="76" t="str">
        <f t="shared" si="1"/>
        <v>BOB Ad Title (bobt)</v>
      </c>
      <c r="B59" s="5"/>
      <c r="C59" s="5" t="s">
        <v>548</v>
      </c>
      <c r="D59" s="5" t="s">
        <v>1008</v>
      </c>
      <c r="E59" s="5" t="s">
        <v>99</v>
      </c>
      <c r="F59" s="5">
        <v>1</v>
      </c>
      <c r="G59" s="5" t="b">
        <v>0</v>
      </c>
      <c r="H59" s="5">
        <v>1</v>
      </c>
      <c r="I59" s="5" t="s">
        <v>4</v>
      </c>
      <c r="J59" s="5">
        <v>16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0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10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9" t="s">
        <v>71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  <c r="BN59" s="8" t="s">
        <v>1171</v>
      </c>
      <c r="BT59" s="8" t="b">
        <v>1</v>
      </c>
      <c r="CL59" s="77" t="str">
        <f t="shared" si="0"/>
        <v>BOBAdTitlebobt</v>
      </c>
    </row>
    <row r="60" spans="1:90">
      <c r="A60" s="76" t="str">
        <f t="shared" si="1"/>
        <v>bookmaker keep together (kt)</v>
      </c>
      <c r="B60" s="5"/>
      <c r="C60" s="5" t="s">
        <v>549</v>
      </c>
      <c r="D60" s="5" t="s">
        <v>1009</v>
      </c>
      <c r="E60" s="5" t="s">
        <v>100</v>
      </c>
      <c r="F60" s="5">
        <v>2</v>
      </c>
      <c r="G60" s="5" t="b">
        <v>0</v>
      </c>
      <c r="H60" s="5">
        <v>2</v>
      </c>
      <c r="I60" s="5" t="s">
        <v>74</v>
      </c>
      <c r="J60" s="5">
        <v>12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6"/>
      <c r="AN60" s="5"/>
      <c r="AO60" s="5"/>
      <c r="AP60" s="5"/>
      <c r="AQ60" s="6"/>
      <c r="AR60" s="5"/>
      <c r="AS60" s="5"/>
      <c r="AT60" s="5"/>
      <c r="AU60" s="6"/>
      <c r="AV60" s="5"/>
      <c r="AW60" s="5"/>
      <c r="AX60" s="5"/>
      <c r="AY60" s="6"/>
      <c r="AZ60" s="5"/>
      <c r="BA60" s="5"/>
      <c r="BB60" s="5"/>
      <c r="BC60" s="5"/>
      <c r="BD60" s="5"/>
      <c r="BE60" s="5"/>
      <c r="BF60" s="6"/>
      <c r="BG60" s="6" t="s">
        <v>68</v>
      </c>
      <c r="BH60" s="5">
        <v>0</v>
      </c>
      <c r="BI60" s="5">
        <v>0</v>
      </c>
      <c r="BJ60" s="16" t="s">
        <v>381</v>
      </c>
      <c r="BK60" s="5" t="s">
        <v>101</v>
      </c>
      <c r="BL60" s="5">
        <v>0</v>
      </c>
      <c r="BM60" s="5" t="b">
        <v>0</v>
      </c>
      <c r="CL60" s="77" t="str">
        <f t="shared" si="0"/>
        <v>bookmakerkeeptogetherkt</v>
      </c>
    </row>
    <row r="61" spans="1:90">
      <c r="A61" s="76" t="str">
        <f t="shared" si="1"/>
        <v>bookmaker loosen (bkl)</v>
      </c>
      <c r="B61" s="5"/>
      <c r="C61" s="5" t="s">
        <v>550</v>
      </c>
      <c r="D61" s="5" t="s">
        <v>1010</v>
      </c>
      <c r="E61" s="5" t="s">
        <v>103</v>
      </c>
      <c r="F61" s="5">
        <v>2</v>
      </c>
      <c r="G61" s="5" t="b">
        <v>0</v>
      </c>
      <c r="H61" s="5">
        <v>2</v>
      </c>
      <c r="I61" s="5" t="s">
        <v>74</v>
      </c>
      <c r="J61" s="5">
        <v>12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6"/>
      <c r="AN61" s="5"/>
      <c r="AO61" s="5"/>
      <c r="AP61" s="5"/>
      <c r="AQ61" s="6"/>
      <c r="AR61" s="5"/>
      <c r="AS61" s="5"/>
      <c r="AT61" s="5"/>
      <c r="AU61" s="6"/>
      <c r="AV61" s="5"/>
      <c r="AW61" s="5"/>
      <c r="AX61" s="5"/>
      <c r="AY61" s="6"/>
      <c r="AZ61" s="5"/>
      <c r="BA61" s="5"/>
      <c r="BB61" s="5"/>
      <c r="BC61" s="5"/>
      <c r="BD61" s="5"/>
      <c r="BE61" s="5"/>
      <c r="BF61" s="6"/>
      <c r="BG61" s="6" t="s">
        <v>68</v>
      </c>
      <c r="BH61" s="5">
        <v>0</v>
      </c>
      <c r="BI61" s="5">
        <v>0</v>
      </c>
      <c r="BJ61" s="16" t="s">
        <v>381</v>
      </c>
      <c r="BK61" s="5" t="s">
        <v>101</v>
      </c>
      <c r="BL61" s="5">
        <v>0</v>
      </c>
      <c r="BM61" s="5" t="b">
        <v>0</v>
      </c>
      <c r="CL61" s="77" t="str">
        <f t="shared" si="0"/>
        <v>bookmakerloosenbkl</v>
      </c>
    </row>
    <row r="62" spans="1:90">
      <c r="A62" s="76" t="str">
        <f t="shared" si="1"/>
        <v>Bookmaker Page Break (br)</v>
      </c>
      <c r="B62" s="5"/>
      <c r="C62" s="5" t="s">
        <v>551</v>
      </c>
      <c r="D62" s="5" t="s">
        <v>1011</v>
      </c>
      <c r="E62" s="5" t="s">
        <v>234</v>
      </c>
      <c r="F62" s="5">
        <v>1</v>
      </c>
      <c r="G62" s="5" t="b">
        <v>0</v>
      </c>
      <c r="H62" s="5">
        <v>1</v>
      </c>
      <c r="I62" s="5" t="s">
        <v>74</v>
      </c>
      <c r="J62" s="5">
        <v>14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12</v>
      </c>
      <c r="AG62" s="5">
        <v>1</v>
      </c>
      <c r="AH62" s="5">
        <v>0</v>
      </c>
      <c r="AI62" s="5">
        <v>10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25" t="s">
        <v>374</v>
      </c>
      <c r="AR62" s="5">
        <v>1</v>
      </c>
      <c r="AS62" s="5">
        <v>48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16" t="s">
        <v>381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  <c r="CL62" s="77" t="str">
        <f t="shared" si="0"/>
        <v>BookmakerPageBreakbr</v>
      </c>
    </row>
    <row r="63" spans="1:90">
      <c r="A63" s="76" t="str">
        <f t="shared" si="1"/>
        <v>Bookmaker Processing Instruction (bpi)</v>
      </c>
      <c r="B63" s="5"/>
      <c r="C63" s="5" t="s">
        <v>552</v>
      </c>
      <c r="D63" s="5" t="s">
        <v>1012</v>
      </c>
      <c r="E63" s="5" t="s">
        <v>105</v>
      </c>
      <c r="F63" s="5">
        <v>1</v>
      </c>
      <c r="G63" s="5" t="b">
        <v>1</v>
      </c>
      <c r="H63" s="5">
        <v>1</v>
      </c>
      <c r="I63" s="5" t="s">
        <v>2</v>
      </c>
      <c r="J63" s="5">
        <v>11</v>
      </c>
      <c r="K63" s="5" t="b">
        <v>0</v>
      </c>
      <c r="L63" s="5" t="b">
        <v>0</v>
      </c>
      <c r="M63" s="17" t="s">
        <v>107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36</v>
      </c>
      <c r="AC63" s="5">
        <v>12</v>
      </c>
      <c r="AD63" s="5">
        <v>10</v>
      </c>
      <c r="AE63" s="5">
        <v>5</v>
      </c>
      <c r="AF63" s="5">
        <v>13.8</v>
      </c>
      <c r="AG63" s="5">
        <v>0</v>
      </c>
      <c r="AH63" s="5">
        <v>0</v>
      </c>
      <c r="AI63" s="5">
        <v>10</v>
      </c>
      <c r="AJ63" s="5" t="b">
        <v>0</v>
      </c>
      <c r="AK63" s="5" t="b">
        <v>0</v>
      </c>
      <c r="AL63" s="5" t="b">
        <v>1</v>
      </c>
      <c r="AM63" s="18" t="s">
        <v>107</v>
      </c>
      <c r="AN63" s="5">
        <v>1</v>
      </c>
      <c r="AO63" s="5">
        <v>8</v>
      </c>
      <c r="AP63" s="5" t="b">
        <v>1</v>
      </c>
      <c r="AQ63" s="18" t="s">
        <v>107</v>
      </c>
      <c r="AR63" s="5">
        <v>1</v>
      </c>
      <c r="AS63" s="5">
        <v>8</v>
      </c>
      <c r="AT63" s="5" t="b">
        <v>1</v>
      </c>
      <c r="AU63" s="18" t="s">
        <v>107</v>
      </c>
      <c r="AV63" s="5">
        <v>1</v>
      </c>
      <c r="AW63" s="5">
        <v>8</v>
      </c>
      <c r="AX63" s="5" t="b">
        <v>1</v>
      </c>
      <c r="AY63" s="18" t="s">
        <v>107</v>
      </c>
      <c r="AZ63" s="5">
        <v>1</v>
      </c>
      <c r="BA63" s="5">
        <v>8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  <c r="CI63" s="8" t="b">
        <v>1</v>
      </c>
      <c r="CL63" s="77" t="str">
        <f t="shared" si="0"/>
        <v>BookmakerProcessingInstructionbpi</v>
      </c>
    </row>
    <row r="64" spans="1:90">
      <c r="A64" s="76" t="str">
        <f t="shared" si="1"/>
        <v>bookmaker tighten (bkt)</v>
      </c>
      <c r="B64" s="5"/>
      <c r="C64" s="5" t="s">
        <v>553</v>
      </c>
      <c r="D64" s="5" t="s">
        <v>1013</v>
      </c>
      <c r="E64" s="5" t="s">
        <v>108</v>
      </c>
      <c r="F64" s="5">
        <v>2</v>
      </c>
      <c r="G64" s="5" t="b">
        <v>0</v>
      </c>
      <c r="H64" s="5">
        <v>2</v>
      </c>
      <c r="I64" s="5" t="s">
        <v>74</v>
      </c>
      <c r="J64" s="5">
        <v>12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6"/>
      <c r="AN64" s="5"/>
      <c r="AO64" s="5"/>
      <c r="AP64" s="5"/>
      <c r="AQ64" s="6"/>
      <c r="AR64" s="5"/>
      <c r="AS64" s="5"/>
      <c r="AT64" s="5"/>
      <c r="AU64" s="6"/>
      <c r="AV64" s="5"/>
      <c r="AW64" s="5"/>
      <c r="AX64" s="5"/>
      <c r="AY64" s="6"/>
      <c r="AZ64" s="5"/>
      <c r="BA64" s="5"/>
      <c r="BB64" s="5"/>
      <c r="BC64" s="5"/>
      <c r="BD64" s="5"/>
      <c r="BE64" s="5"/>
      <c r="BF64" s="6"/>
      <c r="BG64" s="6" t="s">
        <v>68</v>
      </c>
      <c r="BH64" s="5">
        <v>0</v>
      </c>
      <c r="BI64" s="5">
        <v>0</v>
      </c>
      <c r="BJ64" s="16" t="s">
        <v>381</v>
      </c>
      <c r="BK64" s="5" t="s">
        <v>101</v>
      </c>
      <c r="BL64" s="5">
        <v>0</v>
      </c>
      <c r="BM64" s="5" t="b">
        <v>0</v>
      </c>
      <c r="CL64" s="77" t="str">
        <f t="shared" si="0"/>
        <v>bookmakertightenbkt</v>
      </c>
    </row>
    <row r="65" spans="1:90">
      <c r="A65" s="76" t="str">
        <f t="shared" si="1"/>
        <v>Box Epigraph - non-verse (bepi)</v>
      </c>
      <c r="B65" s="5"/>
      <c r="C65" s="5" t="s">
        <v>554</v>
      </c>
      <c r="D65" s="5" t="s">
        <v>1014</v>
      </c>
      <c r="E65" s="5" t="s">
        <v>109</v>
      </c>
      <c r="F65" s="5">
        <v>1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45</v>
      </c>
      <c r="AB65" s="5">
        <v>18</v>
      </c>
      <c r="AC65" s="5">
        <v>12</v>
      </c>
      <c r="AD65" s="5">
        <v>12</v>
      </c>
      <c r="AE65" s="5">
        <v>1</v>
      </c>
      <c r="AF65" s="5">
        <v>18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9" t="s">
        <v>110</v>
      </c>
      <c r="AR65" s="5">
        <v>1</v>
      </c>
      <c r="AS65" s="5">
        <v>24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31</v>
      </c>
      <c r="BC65" s="5">
        <v>4</v>
      </c>
      <c r="BD65" s="5">
        <v>1</v>
      </c>
      <c r="BE65" s="5">
        <v>1</v>
      </c>
      <c r="BF65" s="20" t="s">
        <v>376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  <c r="BP65" s="8" t="s">
        <v>1472</v>
      </c>
      <c r="BQ65" s="8" t="s">
        <v>1473</v>
      </c>
      <c r="BR65" s="8" t="s">
        <v>1474</v>
      </c>
      <c r="BX65" s="8" t="b">
        <v>1</v>
      </c>
      <c r="CL65" s="77" t="str">
        <f t="shared" si="0"/>
        <v>BoxEpigraph-non-versebepi</v>
      </c>
    </row>
    <row r="66" spans="1:90">
      <c r="A66" s="76" t="str">
        <f t="shared" si="1"/>
        <v>Box Epigraph - verse (bepiv)</v>
      </c>
      <c r="B66" s="5"/>
      <c r="C66" s="5" t="s">
        <v>555</v>
      </c>
      <c r="D66" s="5" t="s">
        <v>1015</v>
      </c>
      <c r="E66" s="5" t="s">
        <v>111</v>
      </c>
      <c r="F66" s="5">
        <v>1</v>
      </c>
      <c r="G66" s="5" t="b">
        <v>0</v>
      </c>
      <c r="H66" s="5">
        <v>1</v>
      </c>
      <c r="I66" s="5" t="s">
        <v>2</v>
      </c>
      <c r="J66" s="5">
        <v>11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81</v>
      </c>
      <c r="AB66" s="5">
        <v>18</v>
      </c>
      <c r="AC66" s="5">
        <v>0</v>
      </c>
      <c r="AD66" s="5">
        <v>0</v>
      </c>
      <c r="AE66" s="5">
        <v>2</v>
      </c>
      <c r="AF66" s="5">
        <v>24</v>
      </c>
      <c r="AG66" s="5">
        <v>0</v>
      </c>
      <c r="AH66" s="5">
        <v>-36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9" t="s">
        <v>110</v>
      </c>
      <c r="AR66" s="5">
        <v>1</v>
      </c>
      <c r="AS66" s="5">
        <v>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31</v>
      </c>
      <c r="BC66" s="5">
        <v>4</v>
      </c>
      <c r="BD66" s="5">
        <v>1</v>
      </c>
      <c r="BE66" s="5">
        <v>1</v>
      </c>
      <c r="BF66" s="20" t="s">
        <v>376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  <c r="BP66" s="8" t="s">
        <v>1472</v>
      </c>
      <c r="BQ66" s="8" t="s">
        <v>1473</v>
      </c>
      <c r="BR66" s="8" t="s">
        <v>1474</v>
      </c>
      <c r="BX66" s="8" t="b">
        <v>1</v>
      </c>
      <c r="CL66" s="77" t="str">
        <f t="shared" si="0"/>
        <v>BoxEpigraph-versebepiv</v>
      </c>
    </row>
    <row r="67" spans="1:90">
      <c r="A67" s="76" t="str">
        <f t="shared" si="1"/>
        <v>Box Epigraph Source (beps)</v>
      </c>
      <c r="B67" s="5"/>
      <c r="C67" s="5" t="s">
        <v>556</v>
      </c>
      <c r="D67" s="5" t="s">
        <v>1016</v>
      </c>
      <c r="E67" s="5" t="s">
        <v>234</v>
      </c>
      <c r="F67" s="5">
        <v>1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18</v>
      </c>
      <c r="AC67" s="5">
        <v>0</v>
      </c>
      <c r="AD67" s="5">
        <v>0</v>
      </c>
      <c r="AE67" s="5">
        <v>2</v>
      </c>
      <c r="AF67" s="5">
        <v>24</v>
      </c>
      <c r="AG67" s="5">
        <v>2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9" t="s">
        <v>110</v>
      </c>
      <c r="AR67" s="5">
        <v>4</v>
      </c>
      <c r="AS67" s="5">
        <v>4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20" t="s">
        <v>376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  <c r="BP67" s="8" t="s">
        <v>1472</v>
      </c>
      <c r="BQ67" s="8" t="s">
        <v>1473</v>
      </c>
      <c r="BR67" s="8" t="s">
        <v>1474</v>
      </c>
      <c r="BX67" s="8" t="b">
        <v>1</v>
      </c>
      <c r="CL67" s="77" t="str">
        <f t="shared" si="0"/>
        <v>BoxEpigraphSourcebeps</v>
      </c>
    </row>
    <row r="68" spans="1:90">
      <c r="A68" s="76" t="str">
        <f t="shared" si="1"/>
        <v>Box Extract - Verse (bextv)</v>
      </c>
      <c r="B68" s="5"/>
      <c r="C68" s="5" t="s">
        <v>557</v>
      </c>
      <c r="D68" s="5" t="s">
        <v>1017</v>
      </c>
      <c r="E68" s="5" t="s">
        <v>112</v>
      </c>
      <c r="F68" s="5">
        <v>1</v>
      </c>
      <c r="G68" s="5" t="b">
        <v>0</v>
      </c>
      <c r="H68" s="5">
        <v>1</v>
      </c>
      <c r="I68" s="5" t="s">
        <v>2</v>
      </c>
      <c r="J68" s="5">
        <v>10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81</v>
      </c>
      <c r="AB68" s="5">
        <v>18</v>
      </c>
      <c r="AC68" s="5">
        <v>0</v>
      </c>
      <c r="AD68" s="5">
        <v>0</v>
      </c>
      <c r="AE68" s="5">
        <v>2</v>
      </c>
      <c r="AF68" s="5">
        <v>24</v>
      </c>
      <c r="AG68" s="5">
        <v>0</v>
      </c>
      <c r="AH68" s="5">
        <v>-36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9" t="s">
        <v>110</v>
      </c>
      <c r="AR68" s="5">
        <v>9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31</v>
      </c>
      <c r="BC68" s="5">
        <v>4</v>
      </c>
      <c r="BD68" s="5">
        <v>1</v>
      </c>
      <c r="BE68" s="5">
        <v>1</v>
      </c>
      <c r="BF68" s="20" t="s">
        <v>376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  <c r="BP68" s="8" t="s">
        <v>1472</v>
      </c>
      <c r="BQ68" s="8" t="s">
        <v>1473</v>
      </c>
      <c r="BR68" s="8" t="s">
        <v>1474</v>
      </c>
      <c r="BX68" s="8" t="b">
        <v>1</v>
      </c>
      <c r="CL68" s="77" t="str">
        <f t="shared" ref="CL68:CL131" si="2">SUBSTITUTE(SUBSTITUTE(SUBSTITUTE(SUBSTITUTE(A68, "(",""),")","")," ",""),"#","")</f>
        <v>BoxExtract-Versebextv</v>
      </c>
    </row>
    <row r="69" spans="1:90">
      <c r="A69" s="76" t="str">
        <f t="shared" ref="A69:A132" si="3">IF($D69="","",TRIM($C69)&amp;" "&amp;CHAR(40)&amp;TRIM($D69)&amp;CHAR(41))</f>
        <v>Box Extract (bext)</v>
      </c>
      <c r="B69" s="5"/>
      <c r="C69" s="5" t="s">
        <v>558</v>
      </c>
      <c r="D69" s="5" t="s">
        <v>1018</v>
      </c>
      <c r="E69" s="5" t="s">
        <v>113</v>
      </c>
      <c r="F69" s="5">
        <v>1</v>
      </c>
      <c r="G69" s="5" t="b">
        <v>0</v>
      </c>
      <c r="H69" s="5">
        <v>1</v>
      </c>
      <c r="I69" s="5" t="s">
        <v>2</v>
      </c>
      <c r="J69" s="5">
        <v>10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45</v>
      </c>
      <c r="AB69" s="5">
        <v>18</v>
      </c>
      <c r="AC69" s="5">
        <v>0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9" t="s">
        <v>110</v>
      </c>
      <c r="AR69" s="5">
        <v>3</v>
      </c>
      <c r="AS69" s="5">
        <v>18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31</v>
      </c>
      <c r="BC69" s="5">
        <v>4</v>
      </c>
      <c r="BD69" s="5">
        <v>1</v>
      </c>
      <c r="BE69" s="5">
        <v>1</v>
      </c>
      <c r="BF69" s="20" t="s">
        <v>376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  <c r="BP69" s="8" t="s">
        <v>1472</v>
      </c>
      <c r="BQ69" s="8" t="s">
        <v>1473</v>
      </c>
      <c r="BR69" s="8" t="s">
        <v>1474</v>
      </c>
      <c r="BX69" s="8" t="b">
        <v>1</v>
      </c>
      <c r="CL69" s="77" t="str">
        <f t="shared" si="2"/>
        <v>BoxExtractbext</v>
      </c>
    </row>
    <row r="70" spans="1:90">
      <c r="A70" s="76" t="str">
        <f t="shared" si="3"/>
        <v>Box Footnote (bfn)</v>
      </c>
      <c r="B70" s="5"/>
      <c r="C70" s="5" t="s">
        <v>559</v>
      </c>
      <c r="D70" s="5" t="s">
        <v>1019</v>
      </c>
      <c r="E70" s="5" t="s">
        <v>114</v>
      </c>
      <c r="F70" s="5">
        <v>1</v>
      </c>
      <c r="G70" s="5" t="b">
        <v>0</v>
      </c>
      <c r="H70" s="5">
        <v>1</v>
      </c>
      <c r="I70" s="5" t="s">
        <v>74</v>
      </c>
      <c r="J70" s="5">
        <v>10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18</v>
      </c>
      <c r="AB70" s="5">
        <v>18</v>
      </c>
      <c r="AC70" s="5">
        <v>0</v>
      </c>
      <c r="AD70" s="5">
        <v>0</v>
      </c>
      <c r="AE70" s="5">
        <v>2</v>
      </c>
      <c r="AF70" s="5">
        <v>24</v>
      </c>
      <c r="AG70" s="5">
        <v>0</v>
      </c>
      <c r="AH70" s="5">
        <v>0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9" t="s">
        <v>110</v>
      </c>
      <c r="AR70" s="5">
        <v>1</v>
      </c>
      <c r="AS70" s="5">
        <v>18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20" t="s">
        <v>376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  <c r="BP70" s="8" t="s">
        <v>1472</v>
      </c>
      <c r="BQ70" s="8" t="s">
        <v>1473</v>
      </c>
      <c r="BR70" s="8" t="s">
        <v>1474</v>
      </c>
      <c r="BX70" s="8" t="b">
        <v>1</v>
      </c>
      <c r="CL70" s="77" t="str">
        <f t="shared" si="2"/>
        <v>BoxFootnotebfn</v>
      </c>
    </row>
    <row r="71" spans="1:90">
      <c r="A71" s="76" t="str">
        <f t="shared" si="3"/>
        <v>Box Head - Level-1 (bh1)</v>
      </c>
      <c r="B71" s="5"/>
      <c r="C71" s="5" t="s">
        <v>560</v>
      </c>
      <c r="D71" s="5" t="s">
        <v>1020</v>
      </c>
      <c r="E71" s="5" t="s">
        <v>120</v>
      </c>
      <c r="F71" s="5">
        <v>1</v>
      </c>
      <c r="G71" s="5" t="b">
        <v>0</v>
      </c>
      <c r="H71" s="5">
        <v>1</v>
      </c>
      <c r="I71" s="5" t="s">
        <v>4</v>
      </c>
      <c r="J71" s="5">
        <v>16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18</v>
      </c>
      <c r="AB71" s="5">
        <v>18</v>
      </c>
      <c r="AC71" s="5">
        <v>0</v>
      </c>
      <c r="AD71" s="5">
        <v>0</v>
      </c>
      <c r="AE71" s="5">
        <v>2</v>
      </c>
      <c r="AF71" s="5">
        <v>24</v>
      </c>
      <c r="AG71" s="5">
        <v>0</v>
      </c>
      <c r="AH71" s="5">
        <v>0</v>
      </c>
      <c r="AI71" s="5">
        <v>5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9" t="s">
        <v>110</v>
      </c>
      <c r="AR71" s="5">
        <v>8</v>
      </c>
      <c r="AS71" s="5">
        <v>12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20" t="s">
        <v>376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  <c r="BP71" s="8" t="s">
        <v>1472</v>
      </c>
      <c r="BQ71" s="8" t="s">
        <v>1473</v>
      </c>
      <c r="BR71" s="8" t="s">
        <v>1474</v>
      </c>
      <c r="BX71" s="8" t="b">
        <v>1</v>
      </c>
      <c r="CL71" s="77" t="str">
        <f t="shared" si="2"/>
        <v>BoxHead-Level-1bh1</v>
      </c>
    </row>
    <row r="72" spans="1:90">
      <c r="A72" s="76" t="str">
        <f t="shared" si="3"/>
        <v>Box Head - Level-2 (bh2)</v>
      </c>
      <c r="B72" s="5"/>
      <c r="C72" s="5" t="s">
        <v>561</v>
      </c>
      <c r="D72" s="5" t="s">
        <v>1021</v>
      </c>
      <c r="E72" s="5" t="s">
        <v>120</v>
      </c>
      <c r="F72" s="5">
        <v>1</v>
      </c>
      <c r="G72" s="5" t="b">
        <v>0</v>
      </c>
      <c r="H72" s="5">
        <v>1</v>
      </c>
      <c r="I72" s="5" t="s">
        <v>2</v>
      </c>
      <c r="J72" s="5">
        <v>16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18</v>
      </c>
      <c r="AB72" s="5">
        <v>18</v>
      </c>
      <c r="AC72" s="5">
        <v>0</v>
      </c>
      <c r="AD72" s="5">
        <v>0</v>
      </c>
      <c r="AE72" s="5">
        <v>2</v>
      </c>
      <c r="AF72" s="5">
        <v>24</v>
      </c>
      <c r="AG72" s="5">
        <v>0</v>
      </c>
      <c r="AH72" s="5">
        <v>0</v>
      </c>
      <c r="AI72" s="5">
        <v>6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9" t="s">
        <v>110</v>
      </c>
      <c r="AR72" s="5">
        <v>15</v>
      </c>
      <c r="AS72" s="5">
        <v>36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20" t="s">
        <v>376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  <c r="BP72" s="8" t="s">
        <v>1472</v>
      </c>
      <c r="BQ72" s="8" t="s">
        <v>1473</v>
      </c>
      <c r="BR72" s="8" t="s">
        <v>1474</v>
      </c>
      <c r="BX72" s="8" t="b">
        <v>1</v>
      </c>
      <c r="CL72" s="77" t="str">
        <f t="shared" si="2"/>
        <v>BoxHead-Level-2bh2</v>
      </c>
    </row>
    <row r="73" spans="1:90">
      <c r="A73" s="76" t="str">
        <f t="shared" si="3"/>
        <v>Box Head - Level-3 (bh3)</v>
      </c>
      <c r="B73" s="5"/>
      <c r="C73" s="5" t="s">
        <v>562</v>
      </c>
      <c r="D73" s="5" t="s">
        <v>1022</v>
      </c>
      <c r="E73" s="5" t="s">
        <v>120</v>
      </c>
      <c r="F73" s="5">
        <v>1</v>
      </c>
      <c r="G73" s="5" t="b">
        <v>0</v>
      </c>
      <c r="H73" s="5">
        <v>1</v>
      </c>
      <c r="I73" s="5" t="s">
        <v>84</v>
      </c>
      <c r="J73" s="5">
        <v>16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18</v>
      </c>
      <c r="AB73" s="5">
        <v>18</v>
      </c>
      <c r="AC73" s="5">
        <v>0</v>
      </c>
      <c r="AD73" s="5">
        <v>0</v>
      </c>
      <c r="AE73" s="5">
        <v>2</v>
      </c>
      <c r="AF73" s="5">
        <v>24</v>
      </c>
      <c r="AG73" s="5">
        <v>0</v>
      </c>
      <c r="AH73" s="5">
        <v>0</v>
      </c>
      <c r="AI73" s="5">
        <v>7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9" t="s">
        <v>110</v>
      </c>
      <c r="AR73" s="5">
        <v>16</v>
      </c>
      <c r="AS73" s="5">
        <v>36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20" t="s">
        <v>376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  <c r="BP73" s="8" t="s">
        <v>1472</v>
      </c>
      <c r="BQ73" s="8" t="s">
        <v>1473</v>
      </c>
      <c r="BR73" s="8" t="s">
        <v>1474</v>
      </c>
      <c r="BX73" s="8" t="b">
        <v>1</v>
      </c>
      <c r="CL73" s="77" t="str">
        <f t="shared" si="2"/>
        <v>BoxHead-Level-3bh3</v>
      </c>
    </row>
    <row r="74" spans="1:90">
      <c r="A74" s="76" t="str">
        <f t="shared" si="3"/>
        <v>Box Head - Level-4 (bh4)</v>
      </c>
      <c r="B74" s="5"/>
      <c r="C74" s="5" t="s">
        <v>563</v>
      </c>
      <c r="D74" s="5" t="s">
        <v>1023</v>
      </c>
      <c r="E74" s="5" t="s">
        <v>120</v>
      </c>
      <c r="F74" s="5">
        <v>1</v>
      </c>
      <c r="G74" s="5" t="b">
        <v>0</v>
      </c>
      <c r="H74" s="5">
        <v>1</v>
      </c>
      <c r="I74" s="5" t="s">
        <v>4</v>
      </c>
      <c r="J74" s="5">
        <v>14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18</v>
      </c>
      <c r="AB74" s="5">
        <v>18</v>
      </c>
      <c r="AC74" s="5">
        <v>0</v>
      </c>
      <c r="AD74" s="5">
        <v>0</v>
      </c>
      <c r="AE74" s="5">
        <v>2</v>
      </c>
      <c r="AF74" s="5">
        <v>24</v>
      </c>
      <c r="AG74" s="5">
        <v>0</v>
      </c>
      <c r="AH74" s="5">
        <v>0</v>
      </c>
      <c r="AI74" s="5">
        <v>8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19" t="s">
        <v>110</v>
      </c>
      <c r="AR74" s="5">
        <v>1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20" t="s">
        <v>376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  <c r="BP74" s="8" t="s">
        <v>1472</v>
      </c>
      <c r="BQ74" s="8" t="s">
        <v>1473</v>
      </c>
      <c r="BR74" s="8" t="s">
        <v>1474</v>
      </c>
      <c r="BX74" s="8" t="b">
        <v>1</v>
      </c>
      <c r="CL74" s="77" t="str">
        <f t="shared" si="2"/>
        <v>BoxHead-Level-4bh4</v>
      </c>
    </row>
    <row r="75" spans="1:90">
      <c r="A75" s="76" t="str">
        <f t="shared" si="3"/>
        <v>Box Head - Level-5 (bh5)</v>
      </c>
      <c r="B75" s="5"/>
      <c r="C75" s="5" t="s">
        <v>564</v>
      </c>
      <c r="D75" s="5" t="s">
        <v>1024</v>
      </c>
      <c r="E75" s="5" t="s">
        <v>120</v>
      </c>
      <c r="F75" s="5">
        <v>1</v>
      </c>
      <c r="G75" s="5" t="b">
        <v>0</v>
      </c>
      <c r="H75" s="5">
        <v>1</v>
      </c>
      <c r="I75" s="5" t="s">
        <v>2</v>
      </c>
      <c r="J75" s="5">
        <v>14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18</v>
      </c>
      <c r="AB75" s="5">
        <v>18</v>
      </c>
      <c r="AC75" s="5">
        <v>0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9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19" t="s">
        <v>110</v>
      </c>
      <c r="AR75" s="5">
        <v>1</v>
      </c>
      <c r="AS75" s="5">
        <v>18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20" t="s">
        <v>376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  <c r="BP75" s="8" t="s">
        <v>1472</v>
      </c>
      <c r="BQ75" s="8" t="s">
        <v>1473</v>
      </c>
      <c r="BR75" s="8" t="s">
        <v>1474</v>
      </c>
      <c r="BX75" s="8" t="b">
        <v>1</v>
      </c>
      <c r="CL75" s="77" t="str">
        <f t="shared" si="2"/>
        <v>BoxHead-Level-5bh5</v>
      </c>
    </row>
    <row r="76" spans="1:90">
      <c r="A76" s="76" t="str">
        <f t="shared" si="3"/>
        <v>Box Head (bh)</v>
      </c>
      <c r="B76" s="5"/>
      <c r="C76" s="5" t="s">
        <v>565</v>
      </c>
      <c r="D76" s="5" t="s">
        <v>1025</v>
      </c>
      <c r="E76" s="5" t="s">
        <v>120</v>
      </c>
      <c r="F76" s="5">
        <v>1</v>
      </c>
      <c r="G76" s="5" t="b">
        <v>0</v>
      </c>
      <c r="H76" s="5">
        <v>1</v>
      </c>
      <c r="I76" s="5" t="s">
        <v>4</v>
      </c>
      <c r="J76" s="5">
        <v>18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18</v>
      </c>
      <c r="AB76" s="5">
        <v>18</v>
      </c>
      <c r="AC76" s="5">
        <v>0</v>
      </c>
      <c r="AD76" s="5">
        <v>0</v>
      </c>
      <c r="AE76" s="5">
        <v>2</v>
      </c>
      <c r="AF76" s="5">
        <v>24</v>
      </c>
      <c r="AG76" s="5">
        <v>1</v>
      </c>
      <c r="AH76" s="5">
        <v>0</v>
      </c>
      <c r="AI76" s="5">
        <v>4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19" t="s">
        <v>110</v>
      </c>
      <c r="AR76" s="5">
        <v>2</v>
      </c>
      <c r="AS76" s="5">
        <v>48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20" t="s">
        <v>376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  <c r="BP76" s="8" t="s">
        <v>1472</v>
      </c>
      <c r="BQ76" s="8" t="s">
        <v>1473</v>
      </c>
      <c r="BR76" s="8" t="s">
        <v>1474</v>
      </c>
      <c r="BX76" s="8" t="b">
        <v>1</v>
      </c>
      <c r="CL76" s="77" t="str">
        <f t="shared" si="2"/>
        <v>BoxHeadbh</v>
      </c>
    </row>
    <row r="77" spans="1:90">
      <c r="A77" s="76" t="str">
        <f t="shared" si="3"/>
        <v>Box List Bullet (bbl)</v>
      </c>
      <c r="B77" s="5"/>
      <c r="C77" s="5" t="s">
        <v>566</v>
      </c>
      <c r="D77" s="5" t="s">
        <v>1026</v>
      </c>
      <c r="E77" s="5" t="s">
        <v>115</v>
      </c>
      <c r="F77" s="5">
        <v>1</v>
      </c>
      <c r="G77" s="5" t="b">
        <v>0</v>
      </c>
      <c r="H77" s="5">
        <v>1</v>
      </c>
      <c r="I77" s="5" t="s">
        <v>74</v>
      </c>
      <c r="J77" s="5">
        <v>12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1</v>
      </c>
      <c r="Y77" s="5" t="b">
        <v>1</v>
      </c>
      <c r="Z77" s="5" t="b">
        <v>0</v>
      </c>
      <c r="AA77" s="5">
        <v>45</v>
      </c>
      <c r="AB77" s="5">
        <v>18</v>
      </c>
      <c r="AC77" s="5">
        <v>12</v>
      </c>
      <c r="AD77" s="5">
        <v>12</v>
      </c>
      <c r="AE77" s="5">
        <v>2</v>
      </c>
      <c r="AF77" s="5">
        <v>24</v>
      </c>
      <c r="AG77" s="5">
        <v>0</v>
      </c>
      <c r="AH77" s="5">
        <v>0</v>
      </c>
      <c r="AI77" s="5">
        <v>10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19" t="s">
        <v>110</v>
      </c>
      <c r="AR77" s="5">
        <v>19</v>
      </c>
      <c r="AS77" s="5">
        <v>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31</v>
      </c>
      <c r="BC77" s="5">
        <v>4</v>
      </c>
      <c r="BD77" s="5">
        <v>1</v>
      </c>
      <c r="BE77" s="5">
        <v>1</v>
      </c>
      <c r="BF77" s="20" t="s">
        <v>376</v>
      </c>
      <c r="BG77" s="6"/>
      <c r="BH77" s="5"/>
      <c r="BI77" s="5"/>
      <c r="BJ77" s="6"/>
      <c r="BK77" s="5" t="s">
        <v>1</v>
      </c>
      <c r="BL77" s="5">
        <v>1</v>
      </c>
      <c r="BM77" s="5" t="b">
        <v>0</v>
      </c>
      <c r="BN77" s="8" t="s">
        <v>1469</v>
      </c>
      <c r="BO77" s="8" t="s">
        <v>1206</v>
      </c>
      <c r="BP77" s="8" t="s">
        <v>1472</v>
      </c>
      <c r="BQ77" s="8" t="s">
        <v>1473</v>
      </c>
      <c r="BR77" s="8" t="s">
        <v>1474</v>
      </c>
      <c r="BX77" s="8" t="b">
        <v>1</v>
      </c>
      <c r="CD77" s="8" t="b">
        <v>1</v>
      </c>
      <c r="CL77" s="77" t="str">
        <f t="shared" si="2"/>
        <v>BoxListBulletbbl</v>
      </c>
    </row>
    <row r="78" spans="1:90">
      <c r="A78" s="76" t="str">
        <f t="shared" si="3"/>
        <v>Box List Num (bnl)</v>
      </c>
      <c r="B78" s="5"/>
      <c r="C78" s="5" t="s">
        <v>567</v>
      </c>
      <c r="D78" s="5" t="s">
        <v>1027</v>
      </c>
      <c r="E78" s="5" t="s">
        <v>116</v>
      </c>
      <c r="F78" s="5">
        <v>1</v>
      </c>
      <c r="G78" s="5" t="b">
        <v>0</v>
      </c>
      <c r="H78" s="5">
        <v>1</v>
      </c>
      <c r="I78" s="5" t="s">
        <v>74</v>
      </c>
      <c r="J78" s="5">
        <v>12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1</v>
      </c>
      <c r="Y78" s="5" t="b">
        <v>0</v>
      </c>
      <c r="Z78" s="5" t="b">
        <v>0</v>
      </c>
      <c r="AA78" s="5">
        <v>63</v>
      </c>
      <c r="AB78" s="5">
        <v>18</v>
      </c>
      <c r="AC78" s="5">
        <v>12</v>
      </c>
      <c r="AD78" s="5">
        <v>12</v>
      </c>
      <c r="AE78" s="5">
        <v>2</v>
      </c>
      <c r="AF78" s="5">
        <v>24</v>
      </c>
      <c r="AG78" s="5">
        <v>0</v>
      </c>
      <c r="AH78" s="5">
        <v>-18</v>
      </c>
      <c r="AI78" s="5">
        <v>10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19" t="s">
        <v>110</v>
      </c>
      <c r="AR78" s="5">
        <v>18</v>
      </c>
      <c r="AS78" s="5">
        <v>12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31</v>
      </c>
      <c r="BC78" s="5">
        <v>4</v>
      </c>
      <c r="BD78" s="5">
        <v>1</v>
      </c>
      <c r="BE78" s="5">
        <v>1</v>
      </c>
      <c r="BF78" s="20" t="s">
        <v>376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  <c r="BN78" s="8" t="s">
        <v>1469</v>
      </c>
      <c r="BO78" s="8" t="s">
        <v>1470</v>
      </c>
      <c r="BP78" s="8" t="s">
        <v>1472</v>
      </c>
      <c r="BQ78" s="8" t="s">
        <v>1473</v>
      </c>
      <c r="BR78" s="8" t="s">
        <v>1474</v>
      </c>
      <c r="BX78" s="8" t="b">
        <v>1</v>
      </c>
      <c r="CE78" s="8" t="b">
        <v>1</v>
      </c>
      <c r="CL78" s="77" t="str">
        <f t="shared" si="2"/>
        <v>BoxListNumbnl</v>
      </c>
    </row>
    <row r="79" spans="1:90">
      <c r="A79" s="76" t="str">
        <f t="shared" si="3"/>
        <v>Box List Unnum (bul)</v>
      </c>
      <c r="B79" s="5"/>
      <c r="C79" s="5" t="s">
        <v>568</v>
      </c>
      <c r="D79" s="5" t="s">
        <v>1028</v>
      </c>
      <c r="E79" s="5" t="s">
        <v>117</v>
      </c>
      <c r="F79" s="5">
        <v>1</v>
      </c>
      <c r="G79" s="5" t="b">
        <v>0</v>
      </c>
      <c r="H79" s="5">
        <v>1</v>
      </c>
      <c r="I79" s="5" t="s">
        <v>74</v>
      </c>
      <c r="J79" s="5">
        <v>12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1</v>
      </c>
      <c r="Y79" s="5" t="b">
        <v>0</v>
      </c>
      <c r="Z79" s="5" t="b">
        <v>0</v>
      </c>
      <c r="AA79" s="5">
        <v>45</v>
      </c>
      <c r="AB79" s="5">
        <v>18</v>
      </c>
      <c r="AC79" s="5">
        <v>12</v>
      </c>
      <c r="AD79" s="5">
        <v>12</v>
      </c>
      <c r="AE79" s="5">
        <v>2</v>
      </c>
      <c r="AF79" s="5">
        <v>24</v>
      </c>
      <c r="AG79" s="5">
        <v>0</v>
      </c>
      <c r="AH79" s="5">
        <v>0</v>
      </c>
      <c r="AI79" s="5">
        <v>10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19" t="s">
        <v>110</v>
      </c>
      <c r="AR79" s="5">
        <v>7</v>
      </c>
      <c r="AS79" s="5">
        <v>6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31</v>
      </c>
      <c r="BC79" s="5">
        <v>4</v>
      </c>
      <c r="BD79" s="5">
        <v>1</v>
      </c>
      <c r="BE79" s="5">
        <v>1</v>
      </c>
      <c r="BF79" s="20" t="s">
        <v>376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  <c r="BP79" s="8" t="s">
        <v>1472</v>
      </c>
      <c r="BQ79" s="8" t="s">
        <v>1473</v>
      </c>
      <c r="BR79" s="8" t="s">
        <v>1474</v>
      </c>
      <c r="BX79" s="8" t="b">
        <v>1</v>
      </c>
      <c r="CL79" s="77" t="str">
        <f t="shared" si="2"/>
        <v>BoxListUnnumbul</v>
      </c>
    </row>
    <row r="80" spans="1:90">
      <c r="A80" s="76" t="str">
        <f t="shared" si="3"/>
        <v>Box Source Note (bsn)</v>
      </c>
      <c r="B80" s="5"/>
      <c r="C80" s="5" t="s">
        <v>569</v>
      </c>
      <c r="D80" s="5" t="s">
        <v>1029</v>
      </c>
      <c r="E80" s="5" t="s">
        <v>118</v>
      </c>
      <c r="F80" s="5">
        <v>1</v>
      </c>
      <c r="G80" s="5" t="b">
        <v>0</v>
      </c>
      <c r="H80" s="5">
        <v>1</v>
      </c>
      <c r="I80" s="5" t="s">
        <v>2</v>
      </c>
      <c r="J80" s="5">
        <v>10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18</v>
      </c>
      <c r="AB80" s="5">
        <v>18</v>
      </c>
      <c r="AC80" s="5">
        <v>0</v>
      </c>
      <c r="AD80" s="5">
        <v>0</v>
      </c>
      <c r="AE80" s="5">
        <v>2</v>
      </c>
      <c r="AF80" s="5">
        <v>24</v>
      </c>
      <c r="AG80" s="5">
        <v>0</v>
      </c>
      <c r="AH80" s="5">
        <v>0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19" t="s">
        <v>110</v>
      </c>
      <c r="AR80" s="5">
        <v>1</v>
      </c>
      <c r="AS80" s="5">
        <v>18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20" t="s">
        <v>376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  <c r="BP80" s="8" t="s">
        <v>1472</v>
      </c>
      <c r="BQ80" s="8" t="s">
        <v>1473</v>
      </c>
      <c r="BR80" s="8" t="s">
        <v>1474</v>
      </c>
      <c r="BX80" s="8" t="b">
        <v>1</v>
      </c>
      <c r="CL80" s="77" t="str">
        <f t="shared" si="2"/>
        <v>BoxSourceNotebsn</v>
      </c>
    </row>
    <row r="81" spans="1:90">
      <c r="A81" s="76" t="str">
        <f t="shared" si="3"/>
        <v>Box Subhead (bsh)</v>
      </c>
      <c r="B81" s="5"/>
      <c r="C81" s="5" t="s">
        <v>570</v>
      </c>
      <c r="D81" s="5" t="s">
        <v>1030</v>
      </c>
      <c r="E81" s="5" t="s">
        <v>120</v>
      </c>
      <c r="F81" s="5">
        <v>1</v>
      </c>
      <c r="G81" s="5" t="b">
        <v>0</v>
      </c>
      <c r="H81" s="5">
        <v>1</v>
      </c>
      <c r="I81" s="5" t="s">
        <v>74</v>
      </c>
      <c r="J81" s="5">
        <v>18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18</v>
      </c>
      <c r="AB81" s="5">
        <v>18</v>
      </c>
      <c r="AC81" s="5">
        <v>0</v>
      </c>
      <c r="AD81" s="5">
        <v>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19" t="s">
        <v>110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20" t="s">
        <v>376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  <c r="BP81" s="8" t="s">
        <v>1472</v>
      </c>
      <c r="BQ81" s="8" t="s">
        <v>1473</v>
      </c>
      <c r="BR81" s="8" t="s">
        <v>1474</v>
      </c>
      <c r="BX81" s="8" t="b">
        <v>1</v>
      </c>
      <c r="CL81" s="77" t="str">
        <f t="shared" si="2"/>
        <v>BoxSubheadbsh</v>
      </c>
    </row>
    <row r="82" spans="1:90">
      <c r="A82" s="76" t="str">
        <f t="shared" si="3"/>
        <v>Box Text (btx)</v>
      </c>
      <c r="B82" s="5"/>
      <c r="C82" s="5" t="s">
        <v>571</v>
      </c>
      <c r="D82" s="5" t="s">
        <v>1031</v>
      </c>
      <c r="E82" s="5" t="s">
        <v>119</v>
      </c>
      <c r="F82" s="5">
        <v>1</v>
      </c>
      <c r="G82" s="5" t="b">
        <v>0</v>
      </c>
      <c r="H82" s="5">
        <v>1</v>
      </c>
      <c r="I82" s="5" t="s">
        <v>74</v>
      </c>
      <c r="J82" s="5">
        <v>12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18</v>
      </c>
      <c r="AB82" s="5">
        <v>18</v>
      </c>
      <c r="AC82" s="5">
        <v>0</v>
      </c>
      <c r="AD82" s="5">
        <v>0</v>
      </c>
      <c r="AE82" s="5">
        <v>2</v>
      </c>
      <c r="AF82" s="5">
        <v>24</v>
      </c>
      <c r="AG82" s="5">
        <v>0</v>
      </c>
      <c r="AH82" s="5">
        <v>36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19" t="s">
        <v>110</v>
      </c>
      <c r="AR82" s="5">
        <v>1</v>
      </c>
      <c r="AS82" s="5">
        <v>48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20" t="s">
        <v>376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  <c r="BP82" s="8" t="s">
        <v>1472</v>
      </c>
      <c r="BQ82" s="8" t="s">
        <v>1473</v>
      </c>
      <c r="BR82" s="8" t="s">
        <v>1474</v>
      </c>
      <c r="BX82" s="8" t="b">
        <v>1</v>
      </c>
      <c r="CL82" s="77" t="str">
        <f t="shared" si="2"/>
        <v>BoxTextbtx</v>
      </c>
    </row>
    <row r="83" spans="1:90">
      <c r="A83" s="76" t="str">
        <f t="shared" si="3"/>
        <v>Box Text No-Indent (btx1)</v>
      </c>
      <c r="B83" s="5"/>
      <c r="C83" s="5" t="s">
        <v>572</v>
      </c>
      <c r="D83" s="5" t="s">
        <v>1032</v>
      </c>
      <c r="E83" s="5" t="s">
        <v>120</v>
      </c>
      <c r="F83" s="5">
        <v>1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18</v>
      </c>
      <c r="AB83" s="5">
        <v>18</v>
      </c>
      <c r="AC83" s="5">
        <v>0</v>
      </c>
      <c r="AD83" s="5">
        <v>0</v>
      </c>
      <c r="AE83" s="5">
        <v>2</v>
      </c>
      <c r="AF83" s="5">
        <v>24</v>
      </c>
      <c r="AG83" s="5">
        <v>0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19" t="s">
        <v>110</v>
      </c>
      <c r="AR83" s="5">
        <v>7</v>
      </c>
      <c r="AS83" s="5">
        <v>18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20" t="s">
        <v>376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  <c r="BP83" s="8" t="s">
        <v>1472</v>
      </c>
      <c r="BQ83" s="8" t="s">
        <v>1473</v>
      </c>
      <c r="BR83" s="8" t="s">
        <v>1474</v>
      </c>
      <c r="BX83" s="8" t="b">
        <v>1</v>
      </c>
      <c r="CL83" s="77" t="str">
        <f t="shared" si="2"/>
        <v>BoxTextNo-Indentbtx1</v>
      </c>
    </row>
    <row r="84" spans="1:90">
      <c r="A84" s="76" t="str">
        <f t="shared" si="3"/>
        <v>Bulleted Paragraphs (bp)</v>
      </c>
      <c r="B84" s="5"/>
      <c r="C84" s="5" t="s">
        <v>573</v>
      </c>
      <c r="D84" s="5" t="s">
        <v>1033</v>
      </c>
      <c r="E84" s="5" t="s">
        <v>121</v>
      </c>
      <c r="F84" s="5">
        <v>1</v>
      </c>
      <c r="G84" s="5" t="b">
        <v>0</v>
      </c>
      <c r="H84" s="5">
        <v>1</v>
      </c>
      <c r="I84" s="5" t="s">
        <v>74</v>
      </c>
      <c r="J84" s="5">
        <v>12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1</v>
      </c>
      <c r="Z84" s="5" t="b">
        <v>0</v>
      </c>
      <c r="AA84" s="5">
        <v>45</v>
      </c>
      <c r="AB84" s="5">
        <v>27.35</v>
      </c>
      <c r="AC84" s="5">
        <v>6</v>
      </c>
      <c r="AD84" s="5">
        <v>0</v>
      </c>
      <c r="AE84" s="5">
        <v>2</v>
      </c>
      <c r="AF84" s="5">
        <v>24</v>
      </c>
      <c r="AG84" s="5">
        <v>0</v>
      </c>
      <c r="AH84" s="5">
        <v>-18</v>
      </c>
      <c r="AI84" s="5">
        <v>10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21" t="s">
        <v>122</v>
      </c>
      <c r="AR84" s="5">
        <v>19</v>
      </c>
      <c r="AS84" s="5">
        <v>6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31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1</v>
      </c>
      <c r="BM84" s="5" t="b">
        <v>0</v>
      </c>
      <c r="CL84" s="77" t="str">
        <f t="shared" si="2"/>
        <v>BulletedParagraphsbp</v>
      </c>
    </row>
    <row r="85" spans="1:90">
      <c r="A85" s="76" t="str">
        <f t="shared" si="3"/>
        <v>Caption (cap)</v>
      </c>
      <c r="B85" s="5"/>
      <c r="C85" s="5" t="s">
        <v>574</v>
      </c>
      <c r="D85" s="5" t="s">
        <v>1034</v>
      </c>
      <c r="E85" s="5" t="s">
        <v>234</v>
      </c>
      <c r="F85" s="5">
        <v>1</v>
      </c>
      <c r="G85" s="5" t="b">
        <v>0</v>
      </c>
      <c r="H85" s="5">
        <v>1</v>
      </c>
      <c r="I85" s="5" t="s">
        <v>4</v>
      </c>
      <c r="J85" s="5">
        <v>10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10</v>
      </c>
      <c r="AE85" s="5">
        <v>2</v>
      </c>
      <c r="AF85" s="5">
        <v>24</v>
      </c>
      <c r="AG85" s="5">
        <v>0</v>
      </c>
      <c r="AH85" s="5">
        <v>0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22" t="s">
        <v>123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  <c r="BP85" s="8" t="s">
        <v>1475</v>
      </c>
      <c r="BZ85" s="8" t="b">
        <v>1</v>
      </c>
      <c r="CB85" s="8" t="b">
        <v>1</v>
      </c>
      <c r="CL85" s="77" t="str">
        <f t="shared" si="2"/>
        <v>Captioncap</v>
      </c>
    </row>
    <row r="86" spans="1:90">
      <c r="A86" s="76" t="str">
        <f t="shared" si="3"/>
        <v>Chap Author (ca)</v>
      </c>
      <c r="B86" s="5"/>
      <c r="C86" s="5" t="s">
        <v>575</v>
      </c>
      <c r="D86" s="5" t="s">
        <v>1035</v>
      </c>
      <c r="E86" s="5" t="s">
        <v>201</v>
      </c>
      <c r="F86" s="5">
        <v>1</v>
      </c>
      <c r="G86" s="5" t="b">
        <v>0</v>
      </c>
      <c r="H86" s="5">
        <v>1</v>
      </c>
      <c r="I86" s="5" t="s">
        <v>74</v>
      </c>
      <c r="J86" s="5">
        <v>14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0</v>
      </c>
      <c r="AD86" s="5">
        <v>0</v>
      </c>
      <c r="AE86" s="5">
        <v>2</v>
      </c>
      <c r="AF86" s="5">
        <v>24</v>
      </c>
      <c r="AG86" s="5">
        <v>1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23" t="s">
        <v>124</v>
      </c>
      <c r="AR86" s="5">
        <v>7</v>
      </c>
      <c r="AS86" s="5">
        <v>6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  <c r="CL86" s="77" t="str">
        <f t="shared" si="2"/>
        <v>ChapAuthorca</v>
      </c>
    </row>
    <row r="87" spans="1:90">
      <c r="A87" s="76" t="str">
        <f t="shared" si="3"/>
        <v>Chap Epigraph - non-verse (cepi)</v>
      </c>
      <c r="B87" s="5"/>
      <c r="C87" s="5" t="s">
        <v>576</v>
      </c>
      <c r="D87" s="5" t="s">
        <v>1036</v>
      </c>
      <c r="E87" s="5" t="s">
        <v>125</v>
      </c>
      <c r="F87" s="5">
        <v>1</v>
      </c>
      <c r="G87" s="5" t="b">
        <v>0</v>
      </c>
      <c r="H87" s="5">
        <v>1</v>
      </c>
      <c r="I87" s="5" t="s">
        <v>2</v>
      </c>
      <c r="J87" s="5">
        <v>12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27.35</v>
      </c>
      <c r="AB87" s="5">
        <v>27.35</v>
      </c>
      <c r="AC87" s="5">
        <v>12</v>
      </c>
      <c r="AD87" s="5">
        <v>12</v>
      </c>
      <c r="AE87" s="5">
        <v>1</v>
      </c>
      <c r="AF87" s="5">
        <v>18</v>
      </c>
      <c r="AG87" s="5">
        <v>3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23" t="s">
        <v>124</v>
      </c>
      <c r="AR87" s="5">
        <v>15</v>
      </c>
      <c r="AS87" s="5">
        <v>36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31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  <c r="BP87" s="8" t="s">
        <v>1471</v>
      </c>
      <c r="BQ87" s="8" t="s">
        <v>1476</v>
      </c>
      <c r="BV87" s="8" t="b">
        <v>1</v>
      </c>
      <c r="CL87" s="77" t="str">
        <f t="shared" si="2"/>
        <v>ChapEpigraph-non-versecepi</v>
      </c>
    </row>
    <row r="88" spans="1:90">
      <c r="A88" s="76" t="str">
        <f t="shared" si="3"/>
        <v>Chap Epigraph - verse (cepiv)</v>
      </c>
      <c r="B88" s="5"/>
      <c r="C88" s="5" t="s">
        <v>577</v>
      </c>
      <c r="D88" s="5" t="s">
        <v>1037</v>
      </c>
      <c r="E88" s="5" t="s">
        <v>126</v>
      </c>
      <c r="F88" s="5">
        <v>1</v>
      </c>
      <c r="G88" s="5" t="b">
        <v>0</v>
      </c>
      <c r="H88" s="5">
        <v>1</v>
      </c>
      <c r="I88" s="5" t="s">
        <v>2</v>
      </c>
      <c r="J88" s="5">
        <v>12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1</v>
      </c>
      <c r="Y88" s="5" t="b">
        <v>0</v>
      </c>
      <c r="Z88" s="5" t="b">
        <v>0</v>
      </c>
      <c r="AA88" s="5">
        <v>63.35</v>
      </c>
      <c r="AB88" s="5">
        <v>27.35</v>
      </c>
      <c r="AC88" s="5">
        <v>12</v>
      </c>
      <c r="AD88" s="5">
        <v>0</v>
      </c>
      <c r="AE88" s="5">
        <v>2</v>
      </c>
      <c r="AF88" s="5">
        <v>24</v>
      </c>
      <c r="AG88" s="5">
        <v>0</v>
      </c>
      <c r="AH88" s="5">
        <v>-36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3" t="s">
        <v>124</v>
      </c>
      <c r="AR88" s="5">
        <v>16</v>
      </c>
      <c r="AS88" s="5">
        <v>36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31</v>
      </c>
      <c r="BC88" s="5">
        <v>4</v>
      </c>
      <c r="BD88" s="5">
        <v>1</v>
      </c>
      <c r="BE88" s="5">
        <v>1</v>
      </c>
      <c r="BF88" s="6" t="s">
        <v>68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  <c r="BP88" s="8" t="s">
        <v>1471</v>
      </c>
      <c r="BQ88" s="8" t="s">
        <v>1476</v>
      </c>
      <c r="BV88" s="8" t="b">
        <v>1</v>
      </c>
      <c r="CL88" s="77" t="str">
        <f t="shared" si="2"/>
        <v>ChapEpigraph-versecepiv</v>
      </c>
    </row>
    <row r="89" spans="1:90">
      <c r="A89" s="76" t="str">
        <f t="shared" si="3"/>
        <v>Chap Epigraph Source (ceps)</v>
      </c>
      <c r="B89" s="5"/>
      <c r="C89" s="5" t="s">
        <v>578</v>
      </c>
      <c r="D89" s="5" t="s">
        <v>1038</v>
      </c>
      <c r="E89" s="5" t="s">
        <v>128</v>
      </c>
      <c r="F89" s="5">
        <v>1</v>
      </c>
      <c r="G89" s="5" t="b">
        <v>0</v>
      </c>
      <c r="H89" s="5">
        <v>1</v>
      </c>
      <c r="I89" s="5" t="s">
        <v>74</v>
      </c>
      <c r="J89" s="5">
        <v>12</v>
      </c>
      <c r="K89" s="5" t="b">
        <v>0</v>
      </c>
      <c r="L89" s="5" t="b">
        <v>0</v>
      </c>
      <c r="M89" s="6" t="s">
        <v>68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27</v>
      </c>
      <c r="AB89" s="5">
        <v>27</v>
      </c>
      <c r="AC89" s="5">
        <v>0</v>
      </c>
      <c r="AD89" s="5">
        <v>0</v>
      </c>
      <c r="AE89" s="5">
        <v>2</v>
      </c>
      <c r="AF89" s="5">
        <v>24</v>
      </c>
      <c r="AG89" s="5">
        <v>2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0</v>
      </c>
      <c r="AM89" s="6" t="s">
        <v>68</v>
      </c>
      <c r="AN89" s="5">
        <v>0</v>
      </c>
      <c r="AO89" s="5">
        <v>6</v>
      </c>
      <c r="AP89" s="5" t="b">
        <v>1</v>
      </c>
      <c r="AQ89" s="23" t="s">
        <v>124</v>
      </c>
      <c r="AR89" s="5">
        <v>1</v>
      </c>
      <c r="AS89" s="5">
        <v>18</v>
      </c>
      <c r="AT89" s="5" t="b">
        <v>0</v>
      </c>
      <c r="AU89" s="6" t="s">
        <v>68</v>
      </c>
      <c r="AV89" s="5">
        <v>0</v>
      </c>
      <c r="AW89" s="5">
        <v>6</v>
      </c>
      <c r="AX89" s="5" t="b">
        <v>0</v>
      </c>
      <c r="AY89" s="6" t="s">
        <v>68</v>
      </c>
      <c r="AZ89" s="5">
        <v>0</v>
      </c>
      <c r="BA89" s="5">
        <v>6</v>
      </c>
      <c r="BB89" s="5">
        <v>31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  <c r="BP89" s="8" t="s">
        <v>1471</v>
      </c>
      <c r="BQ89" s="8" t="s">
        <v>1476</v>
      </c>
      <c r="BV89" s="8" t="b">
        <v>1</v>
      </c>
      <c r="CL89" s="77" t="str">
        <f t="shared" si="2"/>
        <v>ChapEpigraphSourceceps</v>
      </c>
    </row>
    <row r="90" spans="1:90">
      <c r="A90" s="76" t="str">
        <f t="shared" si="3"/>
        <v>Chap Number (cn)</v>
      </c>
      <c r="B90" s="5"/>
      <c r="C90" s="5" t="s">
        <v>579</v>
      </c>
      <c r="D90" s="5" t="s">
        <v>1039</v>
      </c>
      <c r="E90" s="5" t="s">
        <v>127</v>
      </c>
      <c r="F90" s="5">
        <v>1</v>
      </c>
      <c r="G90" s="5" t="b">
        <v>1</v>
      </c>
      <c r="H90" s="5">
        <v>1</v>
      </c>
      <c r="I90" s="5" t="s">
        <v>4</v>
      </c>
      <c r="J90" s="5">
        <v>18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1</v>
      </c>
      <c r="T90" s="5" t="b">
        <v>1</v>
      </c>
      <c r="U90" s="5" t="b">
        <v>1</v>
      </c>
      <c r="V90" s="5" t="b">
        <v>0</v>
      </c>
      <c r="W90" s="70" t="s">
        <v>478</v>
      </c>
      <c r="X90" s="5" t="b">
        <v>0</v>
      </c>
      <c r="Y90" s="5" t="b">
        <v>0</v>
      </c>
      <c r="Z90" s="5" t="b">
        <v>0</v>
      </c>
      <c r="AA90" s="5">
        <v>0</v>
      </c>
      <c r="AB90" s="5">
        <v>0</v>
      </c>
      <c r="AC90" s="5">
        <v>0</v>
      </c>
      <c r="AD90" s="5">
        <v>10</v>
      </c>
      <c r="AE90" s="5">
        <v>2</v>
      </c>
      <c r="AF90" s="5">
        <v>24</v>
      </c>
      <c r="AG90" s="5">
        <v>1</v>
      </c>
      <c r="AH90" s="5">
        <v>0</v>
      </c>
      <c r="AI90" s="5">
        <v>3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23" t="s">
        <v>124</v>
      </c>
      <c r="AR90" s="5">
        <v>7</v>
      </c>
      <c r="AS90" s="5">
        <v>18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6" t="s">
        <v>68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  <c r="CL90" s="77" t="str">
        <f t="shared" si="2"/>
        <v>ChapNumbercn</v>
      </c>
    </row>
    <row r="91" spans="1:90">
      <c r="A91" s="76" t="str">
        <f t="shared" si="3"/>
        <v>Chap Opening Text (cotx)</v>
      </c>
      <c r="B91" s="5"/>
      <c r="C91" s="5" t="s">
        <v>580</v>
      </c>
      <c r="D91" s="5" t="s">
        <v>1040</v>
      </c>
      <c r="E91" s="5" t="s">
        <v>234</v>
      </c>
      <c r="F91" s="5">
        <v>1</v>
      </c>
      <c r="G91" s="5" t="b">
        <v>0</v>
      </c>
      <c r="H91" s="5">
        <v>1</v>
      </c>
      <c r="I91" s="5" t="s">
        <v>74</v>
      </c>
      <c r="J91" s="5">
        <v>12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0</v>
      </c>
      <c r="AB91" s="5">
        <v>0</v>
      </c>
      <c r="AC91" s="5">
        <v>144</v>
      </c>
      <c r="AD91" s="5">
        <v>0</v>
      </c>
      <c r="AE91" s="5">
        <v>2</v>
      </c>
      <c r="AF91" s="5">
        <v>24</v>
      </c>
      <c r="AG91" s="5">
        <v>0</v>
      </c>
      <c r="AH91" s="5">
        <v>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23" t="s">
        <v>124</v>
      </c>
      <c r="AR91" s="5">
        <v>19</v>
      </c>
      <c r="AS91" s="5">
        <v>6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6" t="s">
        <v>68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  <c r="CL91" s="77" t="str">
        <f t="shared" si="2"/>
        <v>ChapOpeningTextcotx</v>
      </c>
    </row>
    <row r="92" spans="1:90">
      <c r="A92" s="76" t="str">
        <f t="shared" si="3"/>
        <v>Chap Opening Text No-Indent (cotx1)</v>
      </c>
      <c r="B92" s="5"/>
      <c r="C92" s="5" t="s">
        <v>581</v>
      </c>
      <c r="D92" s="5" t="s">
        <v>1041</v>
      </c>
      <c r="E92" s="5" t="s">
        <v>234</v>
      </c>
      <c r="F92" s="5">
        <v>1</v>
      </c>
      <c r="G92" s="5" t="b">
        <v>1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1</v>
      </c>
      <c r="T92" s="5" t="b">
        <v>1</v>
      </c>
      <c r="U92" s="5" t="b">
        <v>1</v>
      </c>
      <c r="V92" s="5" t="b">
        <v>0</v>
      </c>
      <c r="W92" s="70" t="s">
        <v>404</v>
      </c>
      <c r="X92" s="5" t="b">
        <v>0</v>
      </c>
      <c r="Y92" s="5" t="b">
        <v>0</v>
      </c>
      <c r="Z92" s="5" t="b">
        <v>0</v>
      </c>
      <c r="AA92" s="5">
        <v>0</v>
      </c>
      <c r="AB92" s="5">
        <v>0</v>
      </c>
      <c r="AC92" s="5">
        <v>144</v>
      </c>
      <c r="AD92" s="5">
        <v>0</v>
      </c>
      <c r="AE92" s="5">
        <v>2</v>
      </c>
      <c r="AF92" s="5">
        <v>24</v>
      </c>
      <c r="AG92" s="5">
        <v>0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23" t="s">
        <v>124</v>
      </c>
      <c r="AR92" s="5">
        <v>1</v>
      </c>
      <c r="AS92" s="5">
        <v>48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6" t="s">
        <v>68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  <c r="CL92" s="77" t="str">
        <f t="shared" si="2"/>
        <v>ChapOpeningTextNo-Indentcotx1</v>
      </c>
    </row>
    <row r="93" spans="1:90">
      <c r="A93" s="76" t="str">
        <f t="shared" si="3"/>
        <v>Chap Opening Text No-Indent Space After (cotx1#)</v>
      </c>
      <c r="B93" s="5"/>
      <c r="C93" s="5" t="s">
        <v>582</v>
      </c>
      <c r="D93" s="5" t="s">
        <v>1042</v>
      </c>
      <c r="E93" s="5" t="s">
        <v>234</v>
      </c>
      <c r="F93" s="5">
        <v>1</v>
      </c>
      <c r="G93" s="5" t="b">
        <v>0</v>
      </c>
      <c r="H93" s="5">
        <v>1</v>
      </c>
      <c r="I93" s="5" t="s">
        <v>74</v>
      </c>
      <c r="J93" s="5">
        <v>12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0</v>
      </c>
      <c r="AB93" s="5">
        <v>0</v>
      </c>
      <c r="AC93" s="5">
        <v>144</v>
      </c>
      <c r="AD93" s="5">
        <v>18</v>
      </c>
      <c r="AE93" s="5">
        <v>2</v>
      </c>
      <c r="AF93" s="5">
        <v>24</v>
      </c>
      <c r="AG93" s="5">
        <v>0</v>
      </c>
      <c r="AH93" s="5">
        <v>0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23" t="s">
        <v>124</v>
      </c>
      <c r="AR93" s="5">
        <v>1</v>
      </c>
      <c r="AS93" s="5">
        <v>12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6" t="s">
        <v>68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  <c r="CL93" s="77" t="str">
        <f t="shared" si="2"/>
        <v>ChapOpeningTextNo-IndentSpaceAftercotx1</v>
      </c>
    </row>
    <row r="94" spans="1:90">
      <c r="A94" s="76" t="str">
        <f t="shared" si="3"/>
        <v>Chap Opening Text Space After (cotx#)</v>
      </c>
      <c r="B94" s="5"/>
      <c r="C94" s="5" t="s">
        <v>583</v>
      </c>
      <c r="D94" s="5" t="s">
        <v>1043</v>
      </c>
      <c r="E94" s="5" t="s">
        <v>234</v>
      </c>
      <c r="F94" s="5">
        <v>1</v>
      </c>
      <c r="G94" s="5" t="b">
        <v>0</v>
      </c>
      <c r="H94" s="5">
        <v>1</v>
      </c>
      <c r="I94" s="5" t="s">
        <v>74</v>
      </c>
      <c r="J94" s="5">
        <v>12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0</v>
      </c>
      <c r="AB94" s="5">
        <v>0</v>
      </c>
      <c r="AC94" s="5">
        <v>144</v>
      </c>
      <c r="AD94" s="5">
        <v>18</v>
      </c>
      <c r="AE94" s="5">
        <v>2</v>
      </c>
      <c r="AF94" s="5">
        <v>24</v>
      </c>
      <c r="AG94" s="5">
        <v>0</v>
      </c>
      <c r="AH94" s="5">
        <v>36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24" t="s">
        <v>129</v>
      </c>
      <c r="AR94" s="5">
        <v>18</v>
      </c>
      <c r="AS94" s="5">
        <v>6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6" t="s">
        <v>68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  <c r="CL94" s="77" t="str">
        <f t="shared" si="2"/>
        <v>ChapOpeningTextSpaceAftercotx</v>
      </c>
    </row>
    <row r="95" spans="1:90">
      <c r="A95" s="76" t="str">
        <f t="shared" si="3"/>
        <v>Chap Ornament (corn)</v>
      </c>
      <c r="B95" s="5"/>
      <c r="C95" s="5" t="s">
        <v>584</v>
      </c>
      <c r="D95" s="5" t="s">
        <v>1044</v>
      </c>
      <c r="E95" s="5" t="s">
        <v>201</v>
      </c>
      <c r="F95" s="5">
        <v>1</v>
      </c>
      <c r="G95" s="5" t="b">
        <v>0</v>
      </c>
      <c r="H95" s="5">
        <v>1</v>
      </c>
      <c r="I95" s="5" t="s">
        <v>74</v>
      </c>
      <c r="J95" s="5">
        <v>14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12</v>
      </c>
      <c r="AG95" s="5">
        <v>1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23" t="s">
        <v>124</v>
      </c>
      <c r="AR95" s="5">
        <v>1</v>
      </c>
      <c r="AS95" s="5">
        <v>48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5" t="s">
        <v>374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  <c r="CL95" s="77" t="str">
        <f t="shared" si="2"/>
        <v>ChapOrnamentcorn</v>
      </c>
    </row>
    <row r="96" spans="1:90">
      <c r="A96" s="76" t="str">
        <f t="shared" si="3"/>
        <v>Chap Ornament ALT (corn2)</v>
      </c>
      <c r="B96" s="5"/>
      <c r="C96" s="5" t="s">
        <v>585</v>
      </c>
      <c r="D96" s="5" t="s">
        <v>1045</v>
      </c>
      <c r="E96" s="5" t="s">
        <v>201</v>
      </c>
      <c r="F96" s="5">
        <v>1</v>
      </c>
      <c r="G96" s="5" t="b">
        <v>0</v>
      </c>
      <c r="H96" s="5">
        <v>1</v>
      </c>
      <c r="I96" s="5" t="s">
        <v>2</v>
      </c>
      <c r="J96" s="5">
        <v>13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12</v>
      </c>
      <c r="AG96" s="5">
        <v>1</v>
      </c>
      <c r="AH96" s="5">
        <v>0</v>
      </c>
      <c r="AI96" s="5">
        <v>10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23" t="s">
        <v>124</v>
      </c>
      <c r="AR96" s="5">
        <v>7</v>
      </c>
      <c r="AS96" s="5">
        <v>18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5" t="s">
        <v>374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  <c r="CL96" s="77" t="str">
        <f t="shared" si="2"/>
        <v>ChapOrnamentALTcorn2</v>
      </c>
    </row>
    <row r="97" spans="1:90">
      <c r="A97" s="76" t="str">
        <f t="shared" si="3"/>
        <v>Chap Subtitle (cst)</v>
      </c>
      <c r="B97" s="5"/>
      <c r="C97" s="5" t="s">
        <v>586</v>
      </c>
      <c r="D97" s="5" t="s">
        <v>1046</v>
      </c>
      <c r="E97" s="5" t="s">
        <v>128</v>
      </c>
      <c r="F97" s="5">
        <v>1</v>
      </c>
      <c r="G97" s="5" t="b">
        <v>0</v>
      </c>
      <c r="H97" s="5">
        <v>1</v>
      </c>
      <c r="I97" s="5" t="s">
        <v>74</v>
      </c>
      <c r="J97" s="5">
        <v>18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0</v>
      </c>
      <c r="AB97" s="5">
        <v>0</v>
      </c>
      <c r="AC97" s="5">
        <v>0</v>
      </c>
      <c r="AD97" s="5">
        <v>10</v>
      </c>
      <c r="AE97" s="5">
        <v>2</v>
      </c>
      <c r="AF97" s="5">
        <v>24</v>
      </c>
      <c r="AG97" s="5">
        <v>1</v>
      </c>
      <c r="AH97" s="5">
        <v>0</v>
      </c>
      <c r="AI97" s="5">
        <v>10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23" t="s">
        <v>124</v>
      </c>
      <c r="AR97" s="5">
        <v>8</v>
      </c>
      <c r="AS97" s="5">
        <v>12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6" t="s">
        <v>68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  <c r="CL97" s="77" t="str">
        <f t="shared" si="2"/>
        <v>ChapSubtitlecst</v>
      </c>
    </row>
    <row r="98" spans="1:90">
      <c r="A98" s="76" t="str">
        <f t="shared" si="3"/>
        <v>Chap Title (ct)</v>
      </c>
      <c r="B98" s="5"/>
      <c r="C98" s="5" t="s">
        <v>587</v>
      </c>
      <c r="D98" s="5" t="s">
        <v>1047</v>
      </c>
      <c r="E98" s="5" t="s">
        <v>128</v>
      </c>
      <c r="F98" s="5">
        <v>1</v>
      </c>
      <c r="G98" s="5" t="b">
        <v>1</v>
      </c>
      <c r="H98" s="5">
        <v>1</v>
      </c>
      <c r="I98" s="5" t="s">
        <v>2</v>
      </c>
      <c r="J98" s="5">
        <v>24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1</v>
      </c>
      <c r="T98" s="5" t="b">
        <v>1</v>
      </c>
      <c r="U98" s="5" t="b">
        <v>1</v>
      </c>
      <c r="V98" s="5" t="b">
        <v>0</v>
      </c>
      <c r="W98" s="72" t="s">
        <v>477</v>
      </c>
      <c r="X98" s="5" t="b">
        <v>0</v>
      </c>
      <c r="Y98" s="5" t="b">
        <v>0</v>
      </c>
      <c r="Z98" s="5" t="b">
        <v>0</v>
      </c>
      <c r="AA98" s="5">
        <v>0</v>
      </c>
      <c r="AB98" s="5">
        <v>0</v>
      </c>
      <c r="AC98" s="5">
        <v>0</v>
      </c>
      <c r="AD98" s="5">
        <v>10</v>
      </c>
      <c r="AE98" s="5">
        <v>2</v>
      </c>
      <c r="AF98" s="5">
        <v>24</v>
      </c>
      <c r="AG98" s="5">
        <v>1</v>
      </c>
      <c r="AH98" s="5">
        <v>0</v>
      </c>
      <c r="AI98" s="5">
        <v>3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23" t="s">
        <v>124</v>
      </c>
      <c r="AR98" s="5">
        <v>2</v>
      </c>
      <c r="AS98" s="5">
        <v>48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6" t="s">
        <v>68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  <c r="BN98" s="8" t="s">
        <v>1171</v>
      </c>
      <c r="BT98" s="8" t="b">
        <v>1</v>
      </c>
      <c r="CL98" s="77" t="str">
        <f t="shared" si="2"/>
        <v>ChapTitlect</v>
      </c>
    </row>
    <row r="99" spans="1:90">
      <c r="A99" s="76" t="str">
        <f t="shared" si="3"/>
        <v>Chap Title ALT (act)</v>
      </c>
      <c r="B99" s="5"/>
      <c r="C99" s="5" t="s">
        <v>588</v>
      </c>
      <c r="D99" s="5" t="s">
        <v>1048</v>
      </c>
      <c r="E99" s="5" t="s">
        <v>128</v>
      </c>
      <c r="F99" s="5">
        <v>1</v>
      </c>
      <c r="G99" s="5" t="b">
        <v>0</v>
      </c>
      <c r="H99" s="5">
        <v>1</v>
      </c>
      <c r="I99" s="5" t="s">
        <v>84</v>
      </c>
      <c r="J99" s="5">
        <v>24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0</v>
      </c>
      <c r="AB99" s="5">
        <v>0</v>
      </c>
      <c r="AC99" s="5">
        <v>0</v>
      </c>
      <c r="AD99" s="5">
        <v>10</v>
      </c>
      <c r="AE99" s="5">
        <v>2</v>
      </c>
      <c r="AF99" s="5">
        <v>24</v>
      </c>
      <c r="AG99" s="5">
        <v>1</v>
      </c>
      <c r="AH99" s="5">
        <v>0</v>
      </c>
      <c r="AI99" s="5">
        <v>3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23" t="s">
        <v>124</v>
      </c>
      <c r="AR99" s="5">
        <v>2</v>
      </c>
      <c r="AS99" s="5">
        <v>48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6" t="s">
        <v>68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  <c r="BN99" s="8" t="s">
        <v>1171</v>
      </c>
      <c r="BT99" s="8" t="b">
        <v>1</v>
      </c>
      <c r="CL99" s="77" t="str">
        <f t="shared" si="2"/>
        <v>ChapTitleALTact</v>
      </c>
    </row>
    <row r="100" spans="1:90">
      <c r="A100" s="76" t="str">
        <f t="shared" si="3"/>
        <v>Chap Title Nonprinting (ctnp)</v>
      </c>
      <c r="B100" s="5"/>
      <c r="C100" s="5" t="s">
        <v>589</v>
      </c>
      <c r="D100" s="5" t="s">
        <v>1049</v>
      </c>
      <c r="E100" s="5" t="s">
        <v>128</v>
      </c>
      <c r="F100" s="5">
        <v>1</v>
      </c>
      <c r="G100" s="5" t="b">
        <v>1</v>
      </c>
      <c r="H100" s="5">
        <v>1</v>
      </c>
      <c r="I100" s="5" t="s">
        <v>2</v>
      </c>
      <c r="J100" s="5">
        <v>24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0</v>
      </c>
      <c r="AB100" s="5">
        <v>0</v>
      </c>
      <c r="AC100" s="5">
        <v>0</v>
      </c>
      <c r="AD100" s="5">
        <v>10</v>
      </c>
      <c r="AE100" s="5">
        <v>2</v>
      </c>
      <c r="AF100" s="5">
        <v>24</v>
      </c>
      <c r="AG100" s="5">
        <v>1</v>
      </c>
      <c r="AH100" s="5">
        <v>0</v>
      </c>
      <c r="AI100" s="5">
        <v>3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23" t="s">
        <v>124</v>
      </c>
      <c r="AR100" s="5">
        <v>7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15" t="s">
        <v>372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  <c r="BN100" s="8" t="s">
        <v>1171</v>
      </c>
      <c r="BT100" s="8" t="b">
        <v>1</v>
      </c>
      <c r="CL100" s="77" t="str">
        <f t="shared" si="2"/>
        <v>ChapTitleNonprintingctnp</v>
      </c>
    </row>
    <row r="101" spans="1:90">
      <c r="A101" s="76" t="str">
        <f t="shared" si="3"/>
        <v>Chapter Contents (cc)</v>
      </c>
      <c r="B101" s="5"/>
      <c r="C101" s="5" t="s">
        <v>590</v>
      </c>
      <c r="D101" s="5" t="s">
        <v>1050</v>
      </c>
      <c r="E101" s="5" t="s">
        <v>131</v>
      </c>
      <c r="F101" s="5">
        <v>1</v>
      </c>
      <c r="G101" s="5" t="b">
        <v>0</v>
      </c>
      <c r="H101" s="5">
        <v>1</v>
      </c>
      <c r="I101" s="5" t="s">
        <v>84</v>
      </c>
      <c r="J101" s="5">
        <v>11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0</v>
      </c>
      <c r="AB101" s="5">
        <v>0</v>
      </c>
      <c r="AC101" s="5">
        <v>6</v>
      </c>
      <c r="AD101" s="5">
        <v>10</v>
      </c>
      <c r="AE101" s="5">
        <v>5</v>
      </c>
      <c r="AF101" s="5">
        <v>13.8</v>
      </c>
      <c r="AG101" s="5">
        <v>0</v>
      </c>
      <c r="AH101" s="5">
        <v>0</v>
      </c>
      <c r="AI101" s="5">
        <v>10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26" t="s">
        <v>370</v>
      </c>
      <c r="AR101" s="5">
        <v>19</v>
      </c>
      <c r="AS101" s="5">
        <v>6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6" t="s">
        <v>68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  <c r="CL101" s="77" t="str">
        <f t="shared" si="2"/>
        <v>ChapterContentscc</v>
      </c>
    </row>
    <row r="102" spans="1:90">
      <c r="A102" s="76" t="str">
        <f t="shared" si="3"/>
        <v>Chart Body Text (crbtx)</v>
      </c>
      <c r="B102" s="5"/>
      <c r="C102" s="5" t="s">
        <v>591</v>
      </c>
      <c r="D102" s="5" t="s">
        <v>1051</v>
      </c>
      <c r="E102" s="5" t="s">
        <v>132</v>
      </c>
      <c r="F102" s="5">
        <v>1</v>
      </c>
      <c r="G102" s="5" t="b">
        <v>0</v>
      </c>
      <c r="H102" s="5">
        <v>1</v>
      </c>
      <c r="I102" s="5" t="s">
        <v>2</v>
      </c>
      <c r="J102" s="5">
        <v>11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0</v>
      </c>
      <c r="Y102" s="5" t="b">
        <v>0</v>
      </c>
      <c r="Z102" s="5" t="b">
        <v>0</v>
      </c>
      <c r="AA102" s="5">
        <v>0</v>
      </c>
      <c r="AB102" s="5">
        <v>0</v>
      </c>
      <c r="AC102" s="5">
        <v>0</v>
      </c>
      <c r="AD102" s="5">
        <v>10</v>
      </c>
      <c r="AE102" s="5">
        <v>5</v>
      </c>
      <c r="AF102" s="5">
        <v>13.8</v>
      </c>
      <c r="AG102" s="5">
        <v>0</v>
      </c>
      <c r="AH102" s="5">
        <v>18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0</v>
      </c>
      <c r="AQ102" s="6" t="s">
        <v>68</v>
      </c>
      <c r="AR102" s="5">
        <v>0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27" t="s">
        <v>375</v>
      </c>
      <c r="BG102" s="6"/>
      <c r="BH102" s="5"/>
      <c r="BI102" s="5"/>
      <c r="BJ102" s="6"/>
      <c r="BK102" s="5" t="s">
        <v>1</v>
      </c>
      <c r="BL102" s="5">
        <v>0</v>
      </c>
      <c r="BM102" s="5" t="b">
        <v>0</v>
      </c>
      <c r="CL102" s="77" t="str">
        <f t="shared" si="2"/>
        <v>ChartBodyTextcrbtx</v>
      </c>
    </row>
    <row r="103" spans="1:90">
      <c r="A103" s="76" t="str">
        <f t="shared" si="3"/>
        <v>Chart Body Text No-Indent (crbtx1)</v>
      </c>
      <c r="B103" s="5"/>
      <c r="C103" s="5" t="s">
        <v>592</v>
      </c>
      <c r="D103" s="5" t="s">
        <v>1052</v>
      </c>
      <c r="E103" s="5" t="s">
        <v>132</v>
      </c>
      <c r="F103" s="5">
        <v>1</v>
      </c>
      <c r="G103" s="5" t="b">
        <v>0</v>
      </c>
      <c r="H103" s="5">
        <v>1</v>
      </c>
      <c r="I103" s="5" t="s">
        <v>2</v>
      </c>
      <c r="J103" s="5">
        <v>11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0</v>
      </c>
      <c r="Y103" s="5" t="b">
        <v>0</v>
      </c>
      <c r="Z103" s="5" t="b">
        <v>0</v>
      </c>
      <c r="AA103" s="5">
        <v>0</v>
      </c>
      <c r="AB103" s="5">
        <v>0</v>
      </c>
      <c r="AC103" s="5">
        <v>0</v>
      </c>
      <c r="AD103" s="5">
        <v>10</v>
      </c>
      <c r="AE103" s="5">
        <v>5</v>
      </c>
      <c r="AF103" s="5">
        <v>13.8</v>
      </c>
      <c r="AG103" s="5">
        <v>0</v>
      </c>
      <c r="AH103" s="5">
        <v>0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0</v>
      </c>
      <c r="AQ103" s="6" t="s">
        <v>68</v>
      </c>
      <c r="AR103" s="5">
        <v>0</v>
      </c>
      <c r="AS103" s="5">
        <v>6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27" t="s">
        <v>375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  <c r="CL103" s="77" t="str">
        <f t="shared" si="2"/>
        <v>ChartBodyTextNo-Indentcrbtx1</v>
      </c>
    </row>
    <row r="104" spans="1:90">
      <c r="A104" s="76" t="str">
        <f t="shared" si="3"/>
        <v>Chart Column Head (crch)</v>
      </c>
      <c r="B104" s="5"/>
      <c r="C104" s="5" t="s">
        <v>593</v>
      </c>
      <c r="D104" s="5" t="s">
        <v>1053</v>
      </c>
      <c r="E104" s="5" t="s">
        <v>133</v>
      </c>
      <c r="F104" s="5">
        <v>1</v>
      </c>
      <c r="G104" s="5" t="b">
        <v>0</v>
      </c>
      <c r="H104" s="5">
        <v>1</v>
      </c>
      <c r="I104" s="5" t="s">
        <v>2</v>
      </c>
      <c r="J104" s="5">
        <v>11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0</v>
      </c>
      <c r="Y104" s="5" t="b">
        <v>0</v>
      </c>
      <c r="Z104" s="5" t="b">
        <v>0</v>
      </c>
      <c r="AA104" s="5">
        <v>0</v>
      </c>
      <c r="AB104" s="5">
        <v>0</v>
      </c>
      <c r="AC104" s="5">
        <v>0</v>
      </c>
      <c r="AD104" s="5">
        <v>10</v>
      </c>
      <c r="AE104" s="5">
        <v>5</v>
      </c>
      <c r="AF104" s="5">
        <v>13.8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0</v>
      </c>
      <c r="AQ104" s="6" t="s">
        <v>68</v>
      </c>
      <c r="AR104" s="5">
        <v>0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27" t="s">
        <v>375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  <c r="CL104" s="77" t="str">
        <f t="shared" si="2"/>
        <v>ChartColumnHeadcrch</v>
      </c>
    </row>
    <row r="105" spans="1:90">
      <c r="A105" s="76" t="str">
        <f t="shared" si="3"/>
        <v>Chart Footnote (crfn)</v>
      </c>
      <c r="B105" s="5"/>
      <c r="C105" s="5" t="s">
        <v>594</v>
      </c>
      <c r="D105" s="5" t="s">
        <v>1054</v>
      </c>
      <c r="E105" s="5" t="s">
        <v>133</v>
      </c>
      <c r="F105" s="5">
        <v>1</v>
      </c>
      <c r="G105" s="5" t="b">
        <v>0</v>
      </c>
      <c r="H105" s="5">
        <v>1</v>
      </c>
      <c r="I105" s="5" t="s">
        <v>74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0</v>
      </c>
      <c r="AQ105" s="6" t="s">
        <v>68</v>
      </c>
      <c r="AR105" s="5">
        <v>0</v>
      </c>
      <c r="AS105" s="5">
        <v>6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7" t="s">
        <v>375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  <c r="CL105" s="77" t="str">
        <f t="shared" si="2"/>
        <v>ChartFootnotecrfn</v>
      </c>
    </row>
    <row r="106" spans="1:90">
      <c r="A106" s="76" t="str">
        <f t="shared" si="3"/>
        <v>Chart Head (crh)</v>
      </c>
      <c r="B106" s="5"/>
      <c r="C106" s="5" t="s">
        <v>595</v>
      </c>
      <c r="D106" s="5" t="s">
        <v>1055</v>
      </c>
      <c r="E106" s="5" t="s">
        <v>133</v>
      </c>
      <c r="F106" s="5">
        <v>1</v>
      </c>
      <c r="G106" s="5" t="b">
        <v>0</v>
      </c>
      <c r="H106" s="5">
        <v>1</v>
      </c>
      <c r="I106" s="5" t="s">
        <v>4</v>
      </c>
      <c r="J106" s="5">
        <v>14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0</v>
      </c>
      <c r="AB106" s="5">
        <v>0</v>
      </c>
      <c r="AC106" s="5">
        <v>12</v>
      </c>
      <c r="AD106" s="5">
        <v>10</v>
      </c>
      <c r="AE106" s="5">
        <v>5</v>
      </c>
      <c r="AF106" s="5">
        <v>13.8</v>
      </c>
      <c r="AG106" s="5">
        <v>0</v>
      </c>
      <c r="AH106" s="5">
        <v>0</v>
      </c>
      <c r="AI106" s="5">
        <v>4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0</v>
      </c>
      <c r="AQ106" s="6" t="s">
        <v>68</v>
      </c>
      <c r="AR106" s="5">
        <v>0</v>
      </c>
      <c r="AS106" s="5">
        <v>6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7" t="s">
        <v>375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  <c r="CL106" s="77" t="str">
        <f t="shared" si="2"/>
        <v>ChartHeadcrh</v>
      </c>
    </row>
    <row r="107" spans="1:90">
      <c r="A107" s="76" t="str">
        <f t="shared" si="3"/>
        <v>Chart Label (crl)</v>
      </c>
      <c r="B107" s="5"/>
      <c r="C107" s="5" t="s">
        <v>596</v>
      </c>
      <c r="D107" s="5" t="s">
        <v>1056</v>
      </c>
      <c r="E107" s="5" t="s">
        <v>133</v>
      </c>
      <c r="F107" s="5">
        <v>1</v>
      </c>
      <c r="G107" s="5" t="b">
        <v>0</v>
      </c>
      <c r="H107" s="5">
        <v>1</v>
      </c>
      <c r="I107" s="5" t="s">
        <v>84</v>
      </c>
      <c r="J107" s="5">
        <v>11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0</v>
      </c>
      <c r="AB107" s="5">
        <v>0</v>
      </c>
      <c r="AC107" s="5">
        <v>0</v>
      </c>
      <c r="AD107" s="5">
        <v>10</v>
      </c>
      <c r="AE107" s="5">
        <v>5</v>
      </c>
      <c r="AF107" s="5">
        <v>13.8</v>
      </c>
      <c r="AG107" s="5">
        <v>0</v>
      </c>
      <c r="AH107" s="5">
        <v>0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0</v>
      </c>
      <c r="AQ107" s="6" t="s">
        <v>68</v>
      </c>
      <c r="AR107" s="5">
        <v>0</v>
      </c>
      <c r="AS107" s="5">
        <v>6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7" t="s">
        <v>375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  <c r="CL107" s="77" t="str">
        <f t="shared" si="2"/>
        <v>ChartLabelcrl</v>
      </c>
    </row>
    <row r="108" spans="1:90">
      <c r="A108" s="76" t="str">
        <f t="shared" si="3"/>
        <v>Chart Level-1 Subhead (crh1)</v>
      </c>
      <c r="B108" s="5"/>
      <c r="C108" s="5" t="s">
        <v>597</v>
      </c>
      <c r="D108" s="5" t="s">
        <v>1057</v>
      </c>
      <c r="E108" s="5" t="s">
        <v>133</v>
      </c>
      <c r="F108" s="5">
        <v>1</v>
      </c>
      <c r="G108" s="5" t="b">
        <v>0</v>
      </c>
      <c r="H108" s="5">
        <v>1</v>
      </c>
      <c r="I108" s="5" t="s">
        <v>4</v>
      </c>
      <c r="J108" s="5">
        <v>16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0</v>
      </c>
      <c r="AB108" s="5">
        <v>0</v>
      </c>
      <c r="AC108" s="5">
        <v>12</v>
      </c>
      <c r="AD108" s="5">
        <v>10</v>
      </c>
      <c r="AE108" s="5">
        <v>5</v>
      </c>
      <c r="AF108" s="5">
        <v>13.8</v>
      </c>
      <c r="AG108" s="5">
        <v>0</v>
      </c>
      <c r="AH108" s="5">
        <v>0</v>
      </c>
      <c r="AI108" s="5">
        <v>5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0</v>
      </c>
      <c r="AQ108" s="6" t="s">
        <v>68</v>
      </c>
      <c r="AR108" s="5">
        <v>0</v>
      </c>
      <c r="AS108" s="5">
        <v>6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7" t="s">
        <v>375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  <c r="CL108" s="77" t="str">
        <f t="shared" si="2"/>
        <v>ChartLevel-1Subheadcrh1</v>
      </c>
    </row>
    <row r="109" spans="1:90">
      <c r="A109" s="76" t="str">
        <f t="shared" si="3"/>
        <v>Chart Level-2 Subhead (crh2)</v>
      </c>
      <c r="B109" s="5"/>
      <c r="C109" s="5" t="s">
        <v>598</v>
      </c>
      <c r="D109" s="5" t="s">
        <v>1058</v>
      </c>
      <c r="E109" s="5" t="s">
        <v>133</v>
      </c>
      <c r="F109" s="5">
        <v>1</v>
      </c>
      <c r="G109" s="5" t="b">
        <v>0</v>
      </c>
      <c r="H109" s="5">
        <v>1</v>
      </c>
      <c r="I109" s="5" t="s">
        <v>2</v>
      </c>
      <c r="J109" s="5">
        <v>16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0</v>
      </c>
      <c r="Z109" s="5" t="b">
        <v>0</v>
      </c>
      <c r="AA109" s="5">
        <v>0</v>
      </c>
      <c r="AB109" s="5">
        <v>0</v>
      </c>
      <c r="AC109" s="5">
        <v>12</v>
      </c>
      <c r="AD109" s="5">
        <v>10</v>
      </c>
      <c r="AE109" s="5">
        <v>5</v>
      </c>
      <c r="AF109" s="5">
        <v>13.8</v>
      </c>
      <c r="AG109" s="5">
        <v>0</v>
      </c>
      <c r="AH109" s="5">
        <v>0</v>
      </c>
      <c r="AI109" s="5">
        <v>6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0</v>
      </c>
      <c r="AQ109" s="6" t="s">
        <v>68</v>
      </c>
      <c r="AR109" s="5">
        <v>0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27" t="s">
        <v>375</v>
      </c>
      <c r="BG109" s="6"/>
      <c r="BH109" s="5"/>
      <c r="BI109" s="5"/>
      <c r="BJ109" s="6"/>
      <c r="BK109" s="5" t="s">
        <v>1</v>
      </c>
      <c r="BL109" s="5">
        <v>0</v>
      </c>
      <c r="BM109" s="5" t="b">
        <v>0</v>
      </c>
      <c r="CL109" s="77" t="str">
        <f t="shared" si="2"/>
        <v>ChartLevel-2Subheadcrh2</v>
      </c>
    </row>
    <row r="110" spans="1:90">
      <c r="A110" s="76" t="str">
        <f t="shared" si="3"/>
        <v>Chart Level-3 Subhead (crh3)</v>
      </c>
      <c r="B110" s="5"/>
      <c r="C110" s="5" t="s">
        <v>599</v>
      </c>
      <c r="D110" s="5" t="s">
        <v>1059</v>
      </c>
      <c r="E110" s="5" t="s">
        <v>133</v>
      </c>
      <c r="F110" s="5">
        <v>1</v>
      </c>
      <c r="G110" s="5" t="b">
        <v>0</v>
      </c>
      <c r="H110" s="5">
        <v>1</v>
      </c>
      <c r="I110" s="5" t="s">
        <v>84</v>
      </c>
      <c r="J110" s="5">
        <v>16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12</v>
      </c>
      <c r="AD110" s="5">
        <v>10</v>
      </c>
      <c r="AE110" s="5">
        <v>5</v>
      </c>
      <c r="AF110" s="5">
        <v>13.8</v>
      </c>
      <c r="AG110" s="5">
        <v>0</v>
      </c>
      <c r="AH110" s="5">
        <v>0</v>
      </c>
      <c r="AI110" s="5">
        <v>7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0</v>
      </c>
      <c r="AQ110" s="6" t="s">
        <v>68</v>
      </c>
      <c r="AR110" s="5">
        <v>0</v>
      </c>
      <c r="AS110" s="5">
        <v>6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27" t="s">
        <v>375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  <c r="CL110" s="77" t="str">
        <f t="shared" si="2"/>
        <v>ChartLevel-3Subheadcrh3</v>
      </c>
    </row>
    <row r="111" spans="1:90">
      <c r="A111" s="76" t="str">
        <f t="shared" si="3"/>
        <v>Chart Level-4 Subhead (crh4)</v>
      </c>
      <c r="B111" s="5"/>
      <c r="C111" s="5" t="s">
        <v>600</v>
      </c>
      <c r="D111" s="5" t="s">
        <v>1060</v>
      </c>
      <c r="E111" s="5" t="s">
        <v>133</v>
      </c>
      <c r="F111" s="5">
        <v>1</v>
      </c>
      <c r="G111" s="5" t="b">
        <v>0</v>
      </c>
      <c r="H111" s="5">
        <v>1</v>
      </c>
      <c r="I111" s="5" t="s">
        <v>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12</v>
      </c>
      <c r="AD111" s="5">
        <v>10</v>
      </c>
      <c r="AE111" s="5">
        <v>5</v>
      </c>
      <c r="AF111" s="5">
        <v>13.8</v>
      </c>
      <c r="AG111" s="5">
        <v>0</v>
      </c>
      <c r="AH111" s="5">
        <v>0</v>
      </c>
      <c r="AI111" s="5">
        <v>8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0</v>
      </c>
      <c r="AQ111" s="6" t="s">
        <v>68</v>
      </c>
      <c r="AR111" s="5">
        <v>0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27" t="s">
        <v>375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  <c r="CL111" s="77" t="str">
        <f t="shared" si="2"/>
        <v>ChartLevel-4Subheadcrh4</v>
      </c>
    </row>
    <row r="112" spans="1:90">
      <c r="A112" s="76" t="str">
        <f t="shared" si="3"/>
        <v>Chart Level-5 Subhead (crh5)</v>
      </c>
      <c r="B112" s="5"/>
      <c r="C112" s="5" t="s">
        <v>601</v>
      </c>
      <c r="D112" s="5" t="s">
        <v>1061</v>
      </c>
      <c r="E112" s="5" t="s">
        <v>133</v>
      </c>
      <c r="F112" s="5">
        <v>1</v>
      </c>
      <c r="G112" s="5" t="b">
        <v>0</v>
      </c>
      <c r="H112" s="5">
        <v>1</v>
      </c>
      <c r="I112" s="5" t="s">
        <v>2</v>
      </c>
      <c r="J112" s="5">
        <v>14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0</v>
      </c>
      <c r="AB112" s="5">
        <v>0</v>
      </c>
      <c r="AC112" s="5">
        <v>12</v>
      </c>
      <c r="AD112" s="5">
        <v>10</v>
      </c>
      <c r="AE112" s="5">
        <v>5</v>
      </c>
      <c r="AF112" s="5">
        <v>13.8</v>
      </c>
      <c r="AG112" s="5">
        <v>0</v>
      </c>
      <c r="AH112" s="5">
        <v>0</v>
      </c>
      <c r="AI112" s="5">
        <v>9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0</v>
      </c>
      <c r="AQ112" s="6" t="s">
        <v>68</v>
      </c>
      <c r="AR112" s="5">
        <v>0</v>
      </c>
      <c r="AS112" s="5">
        <v>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27" t="s">
        <v>375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  <c r="CL112" s="77" t="str">
        <f t="shared" si="2"/>
        <v>ChartLevel-5Subheadcrh5</v>
      </c>
    </row>
    <row r="113" spans="1:90">
      <c r="A113" s="76" t="str">
        <f t="shared" si="3"/>
        <v>Chart Number (crn)</v>
      </c>
      <c r="B113" s="5"/>
      <c r="C113" s="5" t="s">
        <v>602</v>
      </c>
      <c r="D113" s="5" t="s">
        <v>1062</v>
      </c>
      <c r="E113" s="5" t="s">
        <v>133</v>
      </c>
      <c r="F113" s="5">
        <v>1</v>
      </c>
      <c r="G113" s="5" t="b">
        <v>0</v>
      </c>
      <c r="H113" s="5">
        <v>1</v>
      </c>
      <c r="I113" s="5" t="s">
        <v>84</v>
      </c>
      <c r="J113" s="5">
        <v>11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0</v>
      </c>
      <c r="Y113" s="5" t="b">
        <v>0</v>
      </c>
      <c r="Z113" s="5" t="b">
        <v>0</v>
      </c>
      <c r="AA113" s="5">
        <v>0</v>
      </c>
      <c r="AB113" s="5">
        <v>0</v>
      </c>
      <c r="AC113" s="5">
        <v>0</v>
      </c>
      <c r="AD113" s="5">
        <v>10</v>
      </c>
      <c r="AE113" s="5">
        <v>5</v>
      </c>
      <c r="AF113" s="5">
        <v>13.8</v>
      </c>
      <c r="AG113" s="5">
        <v>0</v>
      </c>
      <c r="AH113" s="5">
        <v>0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0</v>
      </c>
      <c r="AQ113" s="6" t="s">
        <v>68</v>
      </c>
      <c r="AR113" s="5">
        <v>0</v>
      </c>
      <c r="AS113" s="5">
        <v>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27" t="s">
        <v>375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  <c r="CL113" s="77" t="str">
        <f t="shared" si="2"/>
        <v>ChartNumbercrn</v>
      </c>
    </row>
    <row r="114" spans="1:90">
      <c r="A114" s="76" t="str">
        <f t="shared" si="3"/>
        <v>Chart Source Note (crxn)</v>
      </c>
      <c r="B114" s="5"/>
      <c r="C114" s="5" t="s">
        <v>603</v>
      </c>
      <c r="D114" s="5" t="s">
        <v>1063</v>
      </c>
      <c r="E114" s="5" t="s">
        <v>133</v>
      </c>
      <c r="F114" s="5">
        <v>1</v>
      </c>
      <c r="G114" s="5" t="b">
        <v>0</v>
      </c>
      <c r="H114" s="5">
        <v>1</v>
      </c>
      <c r="I114" s="5" t="s">
        <v>74</v>
      </c>
      <c r="J114" s="5">
        <v>10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2</v>
      </c>
      <c r="AF114" s="5">
        <v>24</v>
      </c>
      <c r="AG114" s="5">
        <v>0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0</v>
      </c>
      <c r="AQ114" s="6" t="s">
        <v>68</v>
      </c>
      <c r="AR114" s="5">
        <v>0</v>
      </c>
      <c r="AS114" s="5">
        <v>6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27" t="s">
        <v>375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  <c r="CL114" s="77" t="str">
        <f t="shared" si="2"/>
        <v>ChartSourceNotecrxn</v>
      </c>
    </row>
    <row r="115" spans="1:90">
      <c r="A115" s="76" t="str">
        <f t="shared" si="3"/>
        <v>Chart Subhead (crsh)</v>
      </c>
      <c r="B115" s="5"/>
      <c r="C115" s="5" t="s">
        <v>604</v>
      </c>
      <c r="D115" s="5" t="s">
        <v>1064</v>
      </c>
      <c r="E115" s="5" t="s">
        <v>133</v>
      </c>
      <c r="F115" s="5">
        <v>1</v>
      </c>
      <c r="G115" s="5" t="b">
        <v>0</v>
      </c>
      <c r="H115" s="5">
        <v>1</v>
      </c>
      <c r="I115" s="5" t="s">
        <v>74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W115" s="5"/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5</v>
      </c>
      <c r="AF115" s="5">
        <v>13.8</v>
      </c>
      <c r="AG115" s="5">
        <v>0</v>
      </c>
      <c r="AH115" s="5">
        <v>0</v>
      </c>
      <c r="AI115" s="5">
        <v>10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0</v>
      </c>
      <c r="AQ115" s="6" t="s">
        <v>68</v>
      </c>
      <c r="AR115" s="5">
        <v>0</v>
      </c>
      <c r="AS115" s="5">
        <v>6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27" t="s">
        <v>375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  <c r="CL115" s="77" t="str">
        <f t="shared" si="2"/>
        <v>ChartSubheadcrsh</v>
      </c>
    </row>
    <row r="116" spans="1:90">
      <c r="A116" s="76" t="str">
        <f t="shared" si="3"/>
        <v>Checklist (ck)</v>
      </c>
      <c r="B116" s="5"/>
      <c r="C116" s="5" t="s">
        <v>25</v>
      </c>
      <c r="D116" s="5" t="s">
        <v>1065</v>
      </c>
      <c r="E116" s="5" t="s">
        <v>134</v>
      </c>
      <c r="F116" s="5">
        <v>1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1</v>
      </c>
      <c r="Y116" s="5" t="b">
        <v>0</v>
      </c>
      <c r="Z116" s="5" t="b">
        <v>1</v>
      </c>
      <c r="AA116" s="5">
        <v>45.35</v>
      </c>
      <c r="AB116" s="5">
        <v>27.35</v>
      </c>
      <c r="AC116" s="5">
        <v>12</v>
      </c>
      <c r="AD116" s="5">
        <v>12</v>
      </c>
      <c r="AE116" s="5">
        <v>2</v>
      </c>
      <c r="AF116" s="5">
        <v>24</v>
      </c>
      <c r="AG116" s="5">
        <v>0</v>
      </c>
      <c r="AH116" s="5">
        <v>-18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1" t="s">
        <v>122</v>
      </c>
      <c r="AR116" s="5">
        <v>16</v>
      </c>
      <c r="AS116" s="5">
        <v>36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31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1</v>
      </c>
      <c r="BM116" s="5" t="b">
        <v>0</v>
      </c>
      <c r="CL116" s="77" t="str">
        <f t="shared" si="2"/>
        <v>Checklistck</v>
      </c>
    </row>
    <row r="117" spans="1:90">
      <c r="A117" s="76" t="str">
        <f t="shared" si="3"/>
        <v>Checklist Subentry (cksl)</v>
      </c>
      <c r="B117" s="5"/>
      <c r="C117" s="5" t="s">
        <v>605</v>
      </c>
      <c r="D117" s="5" t="s">
        <v>1066</v>
      </c>
      <c r="E117" s="5" t="s">
        <v>135</v>
      </c>
      <c r="F117" s="5">
        <v>1</v>
      </c>
      <c r="G117" s="5" t="b">
        <v>0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W117" s="5"/>
      <c r="X117" s="5" t="b">
        <v>0</v>
      </c>
      <c r="Y117" s="5" t="b">
        <v>0</v>
      </c>
      <c r="Z117" s="5" t="b">
        <v>1</v>
      </c>
      <c r="AA117" s="5">
        <v>72</v>
      </c>
      <c r="AB117" s="5">
        <v>27.35</v>
      </c>
      <c r="AC117" s="5">
        <v>0</v>
      </c>
      <c r="AD117" s="5">
        <v>0</v>
      </c>
      <c r="AE117" s="5">
        <v>2</v>
      </c>
      <c r="AF117" s="5">
        <v>24</v>
      </c>
      <c r="AG117" s="5">
        <v>0</v>
      </c>
      <c r="AH117" s="5">
        <v>-18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1" t="s">
        <v>122</v>
      </c>
      <c r="AR117" s="5">
        <v>16</v>
      </c>
      <c r="AS117" s="5">
        <v>36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31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1</v>
      </c>
      <c r="BM117" s="5" t="b">
        <v>0</v>
      </c>
      <c r="CL117" s="77" t="str">
        <f t="shared" si="2"/>
        <v>ChecklistSubentrycksl</v>
      </c>
    </row>
    <row r="118" spans="1:90">
      <c r="A118" s="76" t="str">
        <f t="shared" si="3"/>
        <v>Collection Book Number (bkn)</v>
      </c>
      <c r="B118" s="5"/>
      <c r="C118" s="5" t="s">
        <v>606</v>
      </c>
      <c r="D118" s="5" t="s">
        <v>1067</v>
      </c>
      <c r="E118" s="5" t="s">
        <v>136</v>
      </c>
      <c r="F118" s="5">
        <v>1</v>
      </c>
      <c r="G118" s="5" t="b">
        <v>0</v>
      </c>
      <c r="H118" s="5">
        <v>1</v>
      </c>
      <c r="I118" s="5" t="s">
        <v>2</v>
      </c>
      <c r="J118" s="5">
        <v>16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0</v>
      </c>
      <c r="AD118" s="5">
        <v>10</v>
      </c>
      <c r="AE118" s="5">
        <v>2</v>
      </c>
      <c r="AF118" s="5">
        <v>24</v>
      </c>
      <c r="AG118" s="5">
        <v>1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8" t="s">
        <v>137</v>
      </c>
      <c r="AR118" s="5">
        <v>7</v>
      </c>
      <c r="AS118" s="5">
        <v>6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  <c r="CL118" s="77" t="str">
        <f t="shared" si="2"/>
        <v>CollectionBookNumberbkn</v>
      </c>
    </row>
    <row r="119" spans="1:90">
      <c r="A119" s="76" t="str">
        <f t="shared" si="3"/>
        <v>Collection Book Title (bkt)</v>
      </c>
      <c r="B119" s="5"/>
      <c r="C119" s="5" t="s">
        <v>607</v>
      </c>
      <c r="D119" s="5" t="s">
        <v>1013</v>
      </c>
      <c r="E119" s="5" t="s">
        <v>138</v>
      </c>
      <c r="F119" s="5">
        <v>1</v>
      </c>
      <c r="G119" s="5" t="b">
        <v>0</v>
      </c>
      <c r="H119" s="5">
        <v>1</v>
      </c>
      <c r="I119" s="5" t="s">
        <v>74</v>
      </c>
      <c r="J119" s="5">
        <v>16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2</v>
      </c>
      <c r="AF119" s="5">
        <v>24</v>
      </c>
      <c r="AG119" s="5">
        <v>1</v>
      </c>
      <c r="AH119" s="5">
        <v>0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8" t="s">
        <v>137</v>
      </c>
      <c r="AR119" s="5">
        <v>1</v>
      </c>
      <c r="AS119" s="5">
        <v>8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  <c r="CL119" s="77" t="str">
        <f t="shared" si="2"/>
        <v>CollectionBookTitlebkt</v>
      </c>
    </row>
    <row r="120" spans="1:90">
      <c r="A120" s="76" t="str">
        <f t="shared" si="3"/>
        <v>Colophon Text (coltx)</v>
      </c>
      <c r="B120" s="5"/>
      <c r="C120" s="5" t="s">
        <v>608</v>
      </c>
      <c r="D120" s="5" t="s">
        <v>1068</v>
      </c>
      <c r="E120" s="5" t="s">
        <v>139</v>
      </c>
      <c r="F120" s="5">
        <v>1</v>
      </c>
      <c r="G120" s="5" t="b">
        <v>0</v>
      </c>
      <c r="H120" s="5">
        <v>1</v>
      </c>
      <c r="I120" s="5" t="s">
        <v>74</v>
      </c>
      <c r="J120" s="5">
        <v>12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2</v>
      </c>
      <c r="AF120" s="5">
        <v>24</v>
      </c>
      <c r="AG120" s="5">
        <v>0</v>
      </c>
      <c r="AH120" s="5">
        <v>36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7" t="s">
        <v>69</v>
      </c>
      <c r="AR120" s="5">
        <v>7</v>
      </c>
      <c r="AS120" s="5">
        <v>18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6" t="s">
        <v>68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  <c r="CL120" s="77" t="str">
        <f t="shared" si="2"/>
        <v>ColophonTextcoltx</v>
      </c>
    </row>
    <row r="121" spans="1:90">
      <c r="A121" s="76" t="str">
        <f t="shared" si="3"/>
        <v>Colophon Text No-Indent (coltx1)</v>
      </c>
      <c r="B121" s="5"/>
      <c r="C121" s="5" t="s">
        <v>609</v>
      </c>
      <c r="D121" s="5" t="s">
        <v>1069</v>
      </c>
      <c r="E121" s="5" t="s">
        <v>139</v>
      </c>
      <c r="F121" s="5">
        <v>1</v>
      </c>
      <c r="G121" s="5" t="b">
        <v>0</v>
      </c>
      <c r="H121" s="5">
        <v>1</v>
      </c>
      <c r="I121" s="5" t="s">
        <v>74</v>
      </c>
      <c r="J121" s="5">
        <v>12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6</v>
      </c>
      <c r="AD121" s="5">
        <v>0</v>
      </c>
      <c r="AE121" s="5">
        <v>2</v>
      </c>
      <c r="AF121" s="5">
        <v>24</v>
      </c>
      <c r="AG121" s="5">
        <v>0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2" t="s">
        <v>123</v>
      </c>
      <c r="AR121" s="5">
        <v>8</v>
      </c>
      <c r="AS121" s="5">
        <v>12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6" t="s">
        <v>68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  <c r="CL121" s="77" t="str">
        <f t="shared" si="2"/>
        <v>ColophonTextNo-Indentcoltx1</v>
      </c>
    </row>
    <row r="122" spans="1:90">
      <c r="A122" s="76" t="str">
        <f t="shared" si="3"/>
        <v>Column Break (cbr)</v>
      </c>
      <c r="B122" s="5"/>
      <c r="C122" s="5" t="s">
        <v>610</v>
      </c>
      <c r="D122" s="5" t="s">
        <v>1070</v>
      </c>
      <c r="E122" s="5" t="s">
        <v>201</v>
      </c>
      <c r="F122" s="5">
        <v>1</v>
      </c>
      <c r="G122" s="5" t="b">
        <v>0</v>
      </c>
      <c r="H122" s="5">
        <v>1</v>
      </c>
      <c r="I122" s="5" t="s">
        <v>2</v>
      </c>
      <c r="J122" s="5">
        <v>11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27</v>
      </c>
      <c r="AB122" s="5">
        <v>144</v>
      </c>
      <c r="AC122" s="5">
        <v>0</v>
      </c>
      <c r="AD122" s="5">
        <v>10</v>
      </c>
      <c r="AE122" s="5">
        <v>0</v>
      </c>
      <c r="AF122" s="5">
        <v>12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1" t="s">
        <v>122</v>
      </c>
      <c r="AR122" s="5">
        <v>1</v>
      </c>
      <c r="AS122" s="5">
        <v>24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31</v>
      </c>
      <c r="BC122" s="5">
        <v>4</v>
      </c>
      <c r="BD122" s="5">
        <v>1</v>
      </c>
      <c r="BE122" s="5">
        <v>1</v>
      </c>
      <c r="BF122" s="25" t="s">
        <v>374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  <c r="CL122" s="77" t="str">
        <f t="shared" si="2"/>
        <v>ColumnBreakcbr</v>
      </c>
    </row>
    <row r="123" spans="1:90">
      <c r="A123" s="76" t="str">
        <f t="shared" si="3"/>
        <v>Column Head (ch)</v>
      </c>
      <c r="B123" s="5"/>
      <c r="C123" s="5" t="s">
        <v>611</v>
      </c>
      <c r="D123" s="5" t="s">
        <v>1071</v>
      </c>
      <c r="E123" s="5" t="s">
        <v>141</v>
      </c>
      <c r="F123" s="5">
        <v>1</v>
      </c>
      <c r="G123" s="5" t="b">
        <v>0</v>
      </c>
      <c r="H123" s="5">
        <v>1</v>
      </c>
      <c r="I123" s="5" t="s">
        <v>4</v>
      </c>
      <c r="J123" s="5">
        <v>11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W123" s="5"/>
      <c r="X123" s="5" t="b">
        <v>0</v>
      </c>
      <c r="Y123" s="5" t="b">
        <v>0</v>
      </c>
      <c r="Z123" s="5" t="b">
        <v>0</v>
      </c>
      <c r="AA123" s="5">
        <v>27</v>
      </c>
      <c r="AB123" s="5">
        <v>144</v>
      </c>
      <c r="AC123" s="5">
        <v>0</v>
      </c>
      <c r="AD123" s="5">
        <v>10</v>
      </c>
      <c r="AE123" s="5">
        <v>2</v>
      </c>
      <c r="AF123" s="5">
        <v>24</v>
      </c>
      <c r="AG123" s="5">
        <v>0</v>
      </c>
      <c r="AH123" s="5">
        <v>0</v>
      </c>
      <c r="AI123" s="5">
        <v>10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1" t="s">
        <v>122</v>
      </c>
      <c r="AR123" s="5">
        <v>1</v>
      </c>
      <c r="AS123" s="5">
        <v>24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31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  <c r="CL123" s="77" t="str">
        <f t="shared" si="2"/>
        <v>ColumnHeadch</v>
      </c>
    </row>
    <row r="124" spans="1:90">
      <c r="A124" s="76" t="str">
        <f t="shared" si="3"/>
        <v>Column Text (coltx)</v>
      </c>
      <c r="B124" s="5"/>
      <c r="C124" s="5" t="s">
        <v>612</v>
      </c>
      <c r="D124" s="5" t="s">
        <v>1068</v>
      </c>
      <c r="E124" s="5" t="s">
        <v>140</v>
      </c>
      <c r="F124" s="5">
        <v>1</v>
      </c>
      <c r="G124" s="5" t="b">
        <v>0</v>
      </c>
      <c r="H124" s="5">
        <v>1</v>
      </c>
      <c r="I124" s="5" t="s">
        <v>74</v>
      </c>
      <c r="J124" s="5">
        <v>12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216</v>
      </c>
      <c r="AC124" s="5">
        <v>0</v>
      </c>
      <c r="AD124" s="5">
        <v>0</v>
      </c>
      <c r="AE124" s="5">
        <v>2</v>
      </c>
      <c r="AF124" s="5">
        <v>24</v>
      </c>
      <c r="AG124" s="5">
        <v>0</v>
      </c>
      <c r="AH124" s="5">
        <v>36</v>
      </c>
      <c r="AI124" s="5">
        <v>10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1" t="s">
        <v>122</v>
      </c>
      <c r="AR124" s="5">
        <v>7</v>
      </c>
      <c r="AS124" s="5">
        <v>12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  <c r="CL124" s="77" t="str">
        <f t="shared" si="2"/>
        <v>ColumnTextcoltx</v>
      </c>
    </row>
    <row r="125" spans="1:90">
      <c r="A125" s="76" t="str">
        <f t="shared" si="3"/>
        <v>Column Text No-Indent (coltx1)</v>
      </c>
      <c r="B125" s="5"/>
      <c r="C125" s="5" t="s">
        <v>613</v>
      </c>
      <c r="D125" s="5" t="s">
        <v>1069</v>
      </c>
      <c r="E125" s="5" t="s">
        <v>141</v>
      </c>
      <c r="F125" s="5">
        <v>1</v>
      </c>
      <c r="G125" s="5" t="b">
        <v>0</v>
      </c>
      <c r="H125" s="5">
        <v>1</v>
      </c>
      <c r="I125" s="5" t="s">
        <v>74</v>
      </c>
      <c r="J125" s="5">
        <v>12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216</v>
      </c>
      <c r="AC125" s="5">
        <v>0</v>
      </c>
      <c r="AD125" s="5">
        <v>0</v>
      </c>
      <c r="AE125" s="5">
        <v>2</v>
      </c>
      <c r="AF125" s="5">
        <v>24</v>
      </c>
      <c r="AG125" s="5">
        <v>0</v>
      </c>
      <c r="AH125" s="5">
        <v>0</v>
      </c>
      <c r="AI125" s="5">
        <v>10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1" t="s">
        <v>122</v>
      </c>
      <c r="AR125" s="5">
        <v>8</v>
      </c>
      <c r="AS125" s="5">
        <v>6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6" t="s">
        <v>68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  <c r="CL125" s="77" t="str">
        <f t="shared" si="2"/>
        <v>ColumnTextNo-Indentcoltx1</v>
      </c>
    </row>
    <row r="126" spans="1:90">
      <c r="A126" s="76" t="str">
        <f t="shared" si="3"/>
        <v>Copyright Text double space (crtxd)</v>
      </c>
      <c r="B126" s="5"/>
      <c r="C126" s="5" t="s">
        <v>614</v>
      </c>
      <c r="D126" s="5" t="s">
        <v>1072</v>
      </c>
      <c r="E126" s="5" t="s">
        <v>142</v>
      </c>
      <c r="F126" s="5">
        <v>1</v>
      </c>
      <c r="G126" s="5" t="b">
        <v>0</v>
      </c>
      <c r="H126" s="5">
        <v>1</v>
      </c>
      <c r="I126" s="5" t="s">
        <v>74</v>
      </c>
      <c r="J126" s="5">
        <v>10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0</v>
      </c>
      <c r="AD126" s="5">
        <v>10</v>
      </c>
      <c r="AE126" s="5">
        <v>0</v>
      </c>
      <c r="AF126" s="5">
        <v>12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9" t="s">
        <v>369</v>
      </c>
      <c r="AR126" s="5">
        <v>7</v>
      </c>
      <c r="AS126" s="5">
        <v>18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  <c r="CL126" s="77" t="str">
        <f t="shared" si="2"/>
        <v>CopyrightTextdoublespacecrtxd</v>
      </c>
    </row>
    <row r="127" spans="1:90">
      <c r="A127" s="76" t="str">
        <f t="shared" si="3"/>
        <v>Copyright Text single space (crtx)</v>
      </c>
      <c r="B127" s="5"/>
      <c r="C127" s="5" t="s">
        <v>615</v>
      </c>
      <c r="D127" s="5" t="s">
        <v>1073</v>
      </c>
      <c r="E127" s="5" t="s">
        <v>143</v>
      </c>
      <c r="F127" s="5">
        <v>1</v>
      </c>
      <c r="G127" s="5" t="b">
        <v>0</v>
      </c>
      <c r="H127" s="5">
        <v>1</v>
      </c>
      <c r="I127" s="5" t="s">
        <v>74</v>
      </c>
      <c r="J127" s="5">
        <v>10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5</v>
      </c>
      <c r="AF127" s="5">
        <v>13.8</v>
      </c>
      <c r="AG127" s="5">
        <v>0</v>
      </c>
      <c r="AH127" s="5">
        <v>0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1</v>
      </c>
      <c r="AQ127" s="29" t="s">
        <v>369</v>
      </c>
      <c r="AR127" s="5">
        <v>1</v>
      </c>
      <c r="AS127" s="5">
        <v>48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6" t="s">
        <v>68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  <c r="CL127" s="77" t="str">
        <f t="shared" si="2"/>
        <v>CopyrightTextsinglespacecrtx</v>
      </c>
    </row>
    <row r="128" spans="1:90">
      <c r="A128" s="76" t="str">
        <f t="shared" si="3"/>
        <v>Dateline - Chapter (dl)</v>
      </c>
      <c r="B128" s="5"/>
      <c r="C128" s="5" t="s">
        <v>616</v>
      </c>
      <c r="D128" s="5" t="s">
        <v>1074</v>
      </c>
      <c r="E128" s="5" t="s">
        <v>128</v>
      </c>
      <c r="F128" s="5">
        <v>1</v>
      </c>
      <c r="G128" s="5" t="b">
        <v>0</v>
      </c>
      <c r="H128" s="5">
        <v>1</v>
      </c>
      <c r="I128" s="5" t="s">
        <v>144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2</v>
      </c>
      <c r="AF128" s="5">
        <v>24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1</v>
      </c>
      <c r="AQ128" s="23" t="s">
        <v>124</v>
      </c>
      <c r="AR128" s="5">
        <v>18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6" t="s">
        <v>68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  <c r="CL128" s="77" t="str">
        <f t="shared" si="2"/>
        <v>Dateline-Chapterdl</v>
      </c>
    </row>
    <row r="129" spans="1:90">
      <c r="A129" s="76" t="str">
        <f t="shared" si="3"/>
        <v>Dateline - Text (tdl)</v>
      </c>
      <c r="B129" s="5"/>
      <c r="C129" s="5" t="s">
        <v>617</v>
      </c>
      <c r="D129" s="5" t="s">
        <v>1075</v>
      </c>
      <c r="E129" s="5" t="s">
        <v>128</v>
      </c>
      <c r="F129" s="5">
        <v>1</v>
      </c>
      <c r="G129" s="5" t="b">
        <v>0</v>
      </c>
      <c r="H129" s="5">
        <v>1</v>
      </c>
      <c r="I129" s="5" t="s">
        <v>144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2</v>
      </c>
      <c r="AF129" s="5">
        <v>24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1</v>
      </c>
      <c r="AQ129" s="30" t="s">
        <v>145</v>
      </c>
      <c r="AR129" s="5">
        <v>18</v>
      </c>
      <c r="AS129" s="5">
        <v>12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6" t="s">
        <v>68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  <c r="CL129" s="77" t="str">
        <f t="shared" si="2"/>
        <v>Dateline-Texttdl</v>
      </c>
    </row>
    <row r="130" spans="1:90">
      <c r="A130" s="76" t="str">
        <f t="shared" si="3"/>
        <v>Dedication (ded)</v>
      </c>
      <c r="B130" s="5"/>
      <c r="C130" s="5" t="s">
        <v>618</v>
      </c>
      <c r="D130" s="5" t="s">
        <v>1076</v>
      </c>
      <c r="E130" s="5" t="s">
        <v>146</v>
      </c>
      <c r="F130" s="5">
        <v>1</v>
      </c>
      <c r="G130" s="5" t="b">
        <v>1</v>
      </c>
      <c r="H130" s="5">
        <v>1</v>
      </c>
      <c r="I130" s="5" t="s">
        <v>74</v>
      </c>
      <c r="J130" s="5">
        <v>12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27</v>
      </c>
      <c r="AB130" s="5">
        <v>27.35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1</v>
      </c>
      <c r="AQ130" s="31" t="s">
        <v>358</v>
      </c>
      <c r="AR130" s="5">
        <v>1</v>
      </c>
      <c r="AS130" s="5">
        <v>48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31</v>
      </c>
      <c r="BC130" s="5">
        <v>4</v>
      </c>
      <c r="BD130" s="5">
        <v>1</v>
      </c>
      <c r="BE130" s="5">
        <v>1</v>
      </c>
      <c r="BF130" s="6" t="s">
        <v>68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  <c r="CL130" s="77" t="str">
        <f t="shared" si="2"/>
        <v>Dedicationded</v>
      </c>
    </row>
    <row r="131" spans="1:90">
      <c r="A131" s="76" t="str">
        <f t="shared" si="3"/>
        <v>Dedication Author (dedau)</v>
      </c>
      <c r="B131" s="5"/>
      <c r="C131" s="5" t="s">
        <v>619</v>
      </c>
      <c r="D131" s="5" t="s">
        <v>1077</v>
      </c>
      <c r="E131" s="5" t="s">
        <v>147</v>
      </c>
      <c r="F131" s="5">
        <v>1</v>
      </c>
      <c r="G131" s="5" t="b">
        <v>0</v>
      </c>
      <c r="H131" s="5">
        <v>1</v>
      </c>
      <c r="I131" s="5" t="s">
        <v>74</v>
      </c>
      <c r="J131" s="5">
        <v>12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27</v>
      </c>
      <c r="AB131" s="5">
        <v>27.35</v>
      </c>
      <c r="AC131" s="5">
        <v>0</v>
      </c>
      <c r="AD131" s="5">
        <v>0</v>
      </c>
      <c r="AE131" s="5">
        <v>2</v>
      </c>
      <c r="AF131" s="5">
        <v>24</v>
      </c>
      <c r="AG131" s="5">
        <v>2</v>
      </c>
      <c r="AH131" s="5">
        <v>0</v>
      </c>
      <c r="AI131" s="5">
        <v>10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1</v>
      </c>
      <c r="AQ131" s="31" t="s">
        <v>358</v>
      </c>
      <c r="AR131" s="5">
        <v>7</v>
      </c>
      <c r="AS131" s="5">
        <v>18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31</v>
      </c>
      <c r="BC131" s="5">
        <v>4</v>
      </c>
      <c r="BD131" s="5">
        <v>1</v>
      </c>
      <c r="BE131" s="5">
        <v>1</v>
      </c>
      <c r="BF131" s="6" t="s">
        <v>68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  <c r="CL131" s="77" t="str">
        <f t="shared" si="2"/>
        <v>DedicationAuthordedau</v>
      </c>
    </row>
    <row r="132" spans="1:90">
      <c r="A132" s="76" t="str">
        <f t="shared" si="3"/>
        <v>Definition - Numbered (ndef)</v>
      </c>
      <c r="B132" s="5"/>
      <c r="C132" s="5" t="s">
        <v>620</v>
      </c>
      <c r="D132" s="5" t="s">
        <v>1078</v>
      </c>
      <c r="E132" s="5" t="s">
        <v>148</v>
      </c>
      <c r="F132" s="5">
        <v>1</v>
      </c>
      <c r="G132" s="5" t="b">
        <v>0</v>
      </c>
      <c r="H132" s="5">
        <v>1</v>
      </c>
      <c r="I132" s="5" t="s">
        <v>74</v>
      </c>
      <c r="J132" s="5">
        <v>12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0</v>
      </c>
      <c r="AE132" s="5">
        <v>2</v>
      </c>
      <c r="AF132" s="5">
        <v>24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1</v>
      </c>
      <c r="AQ132" s="32" t="s">
        <v>149</v>
      </c>
      <c r="AR132" s="5">
        <v>16</v>
      </c>
      <c r="AS132" s="5">
        <v>36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6" t="s">
        <v>68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  <c r="CL132" s="77" t="str">
        <f t="shared" ref="CL132:CL195" si="4">SUBSTITUTE(SUBSTITUTE(SUBSTITUTE(SUBSTITUTE(A132, "(",""),")","")," ",""),"#","")</f>
        <v>Definition-Numberedndef</v>
      </c>
    </row>
    <row r="133" spans="1:90">
      <c r="A133" s="76" t="str">
        <f t="shared" ref="A133:A196" si="5">IF($D133="","",TRIM($C133)&amp;" "&amp;CHAR(40)&amp;TRIM($D133)&amp;CHAR(41))</f>
        <v>Definition (def)</v>
      </c>
      <c r="B133" s="5"/>
      <c r="C133" s="5" t="s">
        <v>621</v>
      </c>
      <c r="D133" s="5" t="s">
        <v>1079</v>
      </c>
      <c r="E133" s="5" t="s">
        <v>150</v>
      </c>
      <c r="F133" s="5">
        <v>1</v>
      </c>
      <c r="G133" s="5" t="b">
        <v>0</v>
      </c>
      <c r="H133" s="5">
        <v>1</v>
      </c>
      <c r="I133" s="5" t="s">
        <v>74</v>
      </c>
      <c r="J133" s="5">
        <v>12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18</v>
      </c>
      <c r="AB133" s="5">
        <v>0</v>
      </c>
      <c r="AC133" s="5">
        <v>0</v>
      </c>
      <c r="AD133" s="5">
        <v>0</v>
      </c>
      <c r="AE133" s="5">
        <v>2</v>
      </c>
      <c r="AF133" s="5">
        <v>24</v>
      </c>
      <c r="AG133" s="5">
        <v>0</v>
      </c>
      <c r="AH133" s="5">
        <v>0</v>
      </c>
      <c r="AI133" s="5">
        <v>10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1</v>
      </c>
      <c r="AQ133" s="32" t="s">
        <v>149</v>
      </c>
      <c r="AR133" s="5">
        <v>8</v>
      </c>
      <c r="AS133" s="5">
        <v>12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22</v>
      </c>
      <c r="BC133" s="5">
        <v>4</v>
      </c>
      <c r="BD133" s="5">
        <v>1</v>
      </c>
      <c r="BE133" s="5">
        <v>1</v>
      </c>
      <c r="BF133" s="6" t="s">
        <v>68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  <c r="CL133" s="77" t="str">
        <f t="shared" si="4"/>
        <v>Definitiondef</v>
      </c>
    </row>
    <row r="134" spans="1:90">
      <c r="A134" s="76" t="str">
        <f t="shared" si="5"/>
        <v>Definition Source (defs)</v>
      </c>
      <c r="B134" s="5"/>
      <c r="C134" s="5" t="s">
        <v>622</v>
      </c>
      <c r="D134" s="5" t="s">
        <v>1080</v>
      </c>
      <c r="E134" s="5" t="s">
        <v>151</v>
      </c>
      <c r="F134" s="5">
        <v>1</v>
      </c>
      <c r="G134" s="5" t="b">
        <v>0</v>
      </c>
      <c r="H134" s="5">
        <v>1</v>
      </c>
      <c r="I134" s="5" t="s">
        <v>74</v>
      </c>
      <c r="J134" s="5">
        <v>10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2</v>
      </c>
      <c r="AF134" s="5">
        <v>24</v>
      </c>
      <c r="AG134" s="5">
        <v>0</v>
      </c>
      <c r="AH134" s="5">
        <v>0</v>
      </c>
      <c r="AI134" s="5">
        <v>10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1</v>
      </c>
      <c r="AQ134" s="32" t="s">
        <v>149</v>
      </c>
      <c r="AR134" s="5">
        <v>15</v>
      </c>
      <c r="AS134" s="5">
        <v>36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6" t="s">
        <v>68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  <c r="CL134" s="77" t="str">
        <f t="shared" si="4"/>
        <v>DefinitionSourcedefs</v>
      </c>
    </row>
    <row r="135" spans="1:90">
      <c r="A135" s="76" t="str">
        <f t="shared" si="5"/>
        <v>Design Note (dn)</v>
      </c>
      <c r="B135" s="5"/>
      <c r="C135" s="5" t="s">
        <v>623</v>
      </c>
      <c r="D135" s="5" t="s">
        <v>1081</v>
      </c>
      <c r="E135" s="5" t="s">
        <v>106</v>
      </c>
      <c r="F135" s="5">
        <v>1</v>
      </c>
      <c r="G135" s="5" t="b">
        <v>0</v>
      </c>
      <c r="H135" s="5">
        <v>1</v>
      </c>
      <c r="I135" s="5" t="s">
        <v>2</v>
      </c>
      <c r="J135" s="5">
        <v>11</v>
      </c>
      <c r="K135" s="5" t="b">
        <v>0</v>
      </c>
      <c r="L135" s="5" t="b">
        <v>0</v>
      </c>
      <c r="M135" s="17" t="s">
        <v>107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36</v>
      </c>
      <c r="AB135" s="5">
        <v>36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10</v>
      </c>
      <c r="AJ135" s="5" t="b">
        <v>0</v>
      </c>
      <c r="AK135" s="5" t="b">
        <v>0</v>
      </c>
      <c r="AL135" s="5" t="b">
        <v>1</v>
      </c>
      <c r="AM135" s="18" t="s">
        <v>107</v>
      </c>
      <c r="AN135" s="5">
        <v>1</v>
      </c>
      <c r="AO135" s="5">
        <v>8</v>
      </c>
      <c r="AP135" s="5" t="b">
        <v>1</v>
      </c>
      <c r="AQ135" s="18" t="s">
        <v>107</v>
      </c>
      <c r="AR135" s="5">
        <v>1</v>
      </c>
      <c r="AS135" s="5">
        <v>8</v>
      </c>
      <c r="AT135" s="5" t="b">
        <v>1</v>
      </c>
      <c r="AU135" s="18" t="s">
        <v>107</v>
      </c>
      <c r="AV135" s="5">
        <v>1</v>
      </c>
      <c r="AW135" s="5">
        <v>8</v>
      </c>
      <c r="AX135" s="5" t="b">
        <v>1</v>
      </c>
      <c r="AY135" s="18" t="s">
        <v>107</v>
      </c>
      <c r="AZ135" s="5">
        <v>1</v>
      </c>
      <c r="BA135" s="5">
        <v>8</v>
      </c>
      <c r="BB135" s="5">
        <v>4</v>
      </c>
      <c r="BC135" s="5">
        <v>4</v>
      </c>
      <c r="BD135" s="5">
        <v>1</v>
      </c>
      <c r="BE135" s="5">
        <v>1</v>
      </c>
      <c r="BF135" s="6" t="s">
        <v>68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  <c r="CL135" s="77" t="str">
        <f t="shared" si="4"/>
        <v>DesignNotedn</v>
      </c>
    </row>
    <row r="136" spans="1:90">
      <c r="A136" s="76" t="str">
        <f t="shared" si="5"/>
        <v>Display Phrase (dis)</v>
      </c>
      <c r="B136" s="5"/>
      <c r="C136" s="5" t="s">
        <v>624</v>
      </c>
      <c r="D136" s="5" t="s">
        <v>1082</v>
      </c>
      <c r="E136" s="5" t="s">
        <v>152</v>
      </c>
      <c r="F136" s="5">
        <v>1</v>
      </c>
      <c r="G136" s="5" t="b">
        <v>0</v>
      </c>
      <c r="H136" s="5">
        <v>1</v>
      </c>
      <c r="I136" s="5" t="s">
        <v>74</v>
      </c>
      <c r="J136" s="5">
        <v>12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5</v>
      </c>
      <c r="AF136" s="5">
        <v>13.8</v>
      </c>
      <c r="AG136" s="5">
        <v>0</v>
      </c>
      <c r="AH136" s="5">
        <v>0</v>
      </c>
      <c r="AI136" s="5">
        <v>10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33" t="s">
        <v>359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  <c r="CL136" s="77" t="str">
        <f t="shared" si="4"/>
        <v>DisplayPhrasedis</v>
      </c>
    </row>
    <row r="137" spans="1:90">
      <c r="A137" s="76" t="str">
        <f t="shared" si="5"/>
        <v>EBK External Hyperlink (HL)</v>
      </c>
      <c r="B137" s="5"/>
      <c r="C137" s="5" t="s">
        <v>625</v>
      </c>
      <c r="D137" s="5" t="s">
        <v>1083</v>
      </c>
      <c r="E137" s="5" t="s">
        <v>153</v>
      </c>
      <c r="F137" s="5">
        <v>1</v>
      </c>
      <c r="G137" s="5" t="b">
        <v>0</v>
      </c>
      <c r="H137" s="5">
        <v>1</v>
      </c>
      <c r="I137" s="5" t="s">
        <v>74</v>
      </c>
      <c r="J137" s="5">
        <v>12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0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10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6" t="s">
        <v>68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  <c r="CL137" s="77" t="str">
        <f t="shared" si="4"/>
        <v>EBKExternalHyperlinkHL</v>
      </c>
    </row>
    <row r="138" spans="1:90">
      <c r="A138" s="76" t="str">
        <f t="shared" si="5"/>
        <v>EBK Link Destination (Lb)</v>
      </c>
      <c r="B138" s="5"/>
      <c r="C138" s="5" t="s">
        <v>626</v>
      </c>
      <c r="D138" s="5" t="s">
        <v>1084</v>
      </c>
      <c r="E138" s="5" t="s">
        <v>154</v>
      </c>
      <c r="F138" s="5">
        <v>1</v>
      </c>
      <c r="G138" s="5" t="b">
        <v>0</v>
      </c>
      <c r="H138" s="5">
        <v>1</v>
      </c>
      <c r="I138" s="5" t="s">
        <v>74</v>
      </c>
      <c r="J138" s="5">
        <v>12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6" t="s">
        <v>68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  <c r="CL138" s="77" t="str">
        <f t="shared" si="4"/>
        <v>EBKLinkDestinationLb</v>
      </c>
    </row>
    <row r="139" spans="1:90">
      <c r="A139" s="76" t="str">
        <f t="shared" si="5"/>
        <v>EBK Link Source (La)</v>
      </c>
      <c r="B139" s="5"/>
      <c r="C139" s="5" t="s">
        <v>627</v>
      </c>
      <c r="D139" s="5" t="s">
        <v>1085</v>
      </c>
      <c r="E139" s="5" t="s">
        <v>155</v>
      </c>
      <c r="F139" s="5">
        <v>1</v>
      </c>
      <c r="G139" s="5" t="b">
        <v>0</v>
      </c>
      <c r="H139" s="5">
        <v>1</v>
      </c>
      <c r="I139" s="5" t="s">
        <v>74</v>
      </c>
      <c r="J139" s="5">
        <v>12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10</v>
      </c>
      <c r="AE139" s="5">
        <v>5</v>
      </c>
      <c r="AF139" s="5">
        <v>13.8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6" t="s">
        <v>68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  <c r="CL139" s="77" t="str">
        <f t="shared" si="4"/>
        <v>EBKLinkSourceLa</v>
      </c>
    </row>
    <row r="140" spans="1:90">
      <c r="A140" s="76" t="str">
        <f t="shared" si="5"/>
        <v>Endnote Text (ntx)</v>
      </c>
      <c r="B140" s="5"/>
      <c r="C140" s="5" t="s">
        <v>628</v>
      </c>
      <c r="D140" s="5" t="s">
        <v>1086</v>
      </c>
      <c r="E140" s="5" t="s">
        <v>156</v>
      </c>
      <c r="F140" s="5">
        <v>1</v>
      </c>
      <c r="G140" s="5" t="b">
        <v>0</v>
      </c>
      <c r="H140" s="5">
        <v>1</v>
      </c>
      <c r="I140" s="5" t="s">
        <v>74</v>
      </c>
      <c r="J140" s="5">
        <v>12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12</v>
      </c>
      <c r="AE140" s="5">
        <v>2</v>
      </c>
      <c r="AF140" s="5">
        <v>24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1</v>
      </c>
      <c r="AQ140" s="34" t="s">
        <v>157</v>
      </c>
      <c r="AR140" s="5">
        <v>1</v>
      </c>
      <c r="AS140" s="5">
        <v>48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6" t="s">
        <v>68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1</v>
      </c>
      <c r="CL140" s="77" t="str">
        <f t="shared" si="4"/>
        <v>EndnoteTextntx</v>
      </c>
    </row>
    <row r="141" spans="1:90">
      <c r="A141" s="76" t="str">
        <f t="shared" si="5"/>
        <v>Entry (en)</v>
      </c>
      <c r="B141" s="5"/>
      <c r="C141" s="5" t="s">
        <v>629</v>
      </c>
      <c r="D141" s="5" t="s">
        <v>1087</v>
      </c>
      <c r="E141" s="5" t="s">
        <v>158</v>
      </c>
      <c r="F141" s="5">
        <v>1</v>
      </c>
      <c r="G141" s="5" t="b">
        <v>0</v>
      </c>
      <c r="H141" s="5">
        <v>1</v>
      </c>
      <c r="I141" s="5" t="s">
        <v>84</v>
      </c>
      <c r="J141" s="5">
        <v>11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0</v>
      </c>
      <c r="Y141" s="5" t="b">
        <v>0</v>
      </c>
      <c r="Z141" s="5" t="b">
        <v>0</v>
      </c>
      <c r="AA141" s="5">
        <v>0</v>
      </c>
      <c r="AB141" s="5">
        <v>0</v>
      </c>
      <c r="AC141" s="5">
        <v>0</v>
      </c>
      <c r="AD141" s="5">
        <v>10</v>
      </c>
      <c r="AE141" s="5">
        <v>2</v>
      </c>
      <c r="AF141" s="5">
        <v>24</v>
      </c>
      <c r="AG141" s="5">
        <v>0</v>
      </c>
      <c r="AH141" s="5">
        <v>0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32" t="s">
        <v>149</v>
      </c>
      <c r="AR141" s="5">
        <v>2</v>
      </c>
      <c r="AS141" s="5">
        <v>48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0</v>
      </c>
      <c r="BM141" s="5" t="b">
        <v>0</v>
      </c>
      <c r="CL141" s="77" t="str">
        <f t="shared" si="4"/>
        <v>Entryen</v>
      </c>
    </row>
    <row r="142" spans="1:90">
      <c r="A142" s="76" t="str">
        <f t="shared" si="5"/>
        <v>Epigraph - non-verse (epi)</v>
      </c>
      <c r="B142" s="5"/>
      <c r="C142" s="5" t="s">
        <v>630</v>
      </c>
      <c r="D142" s="5" t="s">
        <v>1088</v>
      </c>
      <c r="E142" s="5" t="s">
        <v>159</v>
      </c>
      <c r="F142" s="5">
        <v>1</v>
      </c>
      <c r="G142" s="5" t="b">
        <v>1</v>
      </c>
      <c r="H142" s="5">
        <v>1</v>
      </c>
      <c r="I142" s="5" t="s">
        <v>2</v>
      </c>
      <c r="J142" s="5">
        <v>11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0</v>
      </c>
      <c r="AA142" s="5">
        <v>27.35</v>
      </c>
      <c r="AB142" s="5">
        <v>27.35</v>
      </c>
      <c r="AC142" s="5">
        <v>12</v>
      </c>
      <c r="AD142" s="5">
        <v>12</v>
      </c>
      <c r="AE142" s="5">
        <v>1</v>
      </c>
      <c r="AF142" s="5">
        <v>18</v>
      </c>
      <c r="AG142" s="5">
        <v>0</v>
      </c>
      <c r="AH142" s="5">
        <v>0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35" t="s">
        <v>367</v>
      </c>
      <c r="AR142" s="5">
        <v>1</v>
      </c>
      <c r="AS142" s="5">
        <v>48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0</v>
      </c>
      <c r="BM142" s="5" t="b">
        <v>0</v>
      </c>
      <c r="BP142" s="8" t="s">
        <v>1471</v>
      </c>
      <c r="BQ142" s="8" t="s">
        <v>1476</v>
      </c>
      <c r="BV142" s="8" t="b">
        <v>1</v>
      </c>
      <c r="CL142" s="77" t="str">
        <f t="shared" si="4"/>
        <v>Epigraph-non-verseepi</v>
      </c>
    </row>
    <row r="143" spans="1:90">
      <c r="A143" s="76" t="str">
        <f t="shared" si="5"/>
        <v>Epigraph - verse (epiv)</v>
      </c>
      <c r="B143" s="5"/>
      <c r="C143" s="5" t="s">
        <v>631</v>
      </c>
      <c r="D143" s="5" t="s">
        <v>1089</v>
      </c>
      <c r="E143" s="5" t="s">
        <v>160</v>
      </c>
      <c r="F143" s="5">
        <v>1</v>
      </c>
      <c r="G143" s="5" t="b">
        <v>0</v>
      </c>
      <c r="H143" s="5">
        <v>1</v>
      </c>
      <c r="I143" s="5" t="s">
        <v>2</v>
      </c>
      <c r="J143" s="5">
        <v>11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1</v>
      </c>
      <c r="Y143" s="5" t="b">
        <v>0</v>
      </c>
      <c r="Z143" s="5" t="b">
        <v>0</v>
      </c>
      <c r="AA143" s="5">
        <v>45.35</v>
      </c>
      <c r="AB143" s="5">
        <v>27.35</v>
      </c>
      <c r="AC143" s="5">
        <v>0</v>
      </c>
      <c r="AD143" s="5">
        <v>10</v>
      </c>
      <c r="AE143" s="5">
        <v>2</v>
      </c>
      <c r="AF143" s="5">
        <v>24</v>
      </c>
      <c r="AG143" s="5">
        <v>0</v>
      </c>
      <c r="AH143" s="5">
        <v>-18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35" t="s">
        <v>367</v>
      </c>
      <c r="AR143" s="5">
        <v>7</v>
      </c>
      <c r="AS143" s="5">
        <v>18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31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  <c r="BP143" s="8" t="s">
        <v>1471</v>
      </c>
      <c r="BQ143" s="8" t="s">
        <v>1476</v>
      </c>
      <c r="BV143" s="8" t="b">
        <v>1</v>
      </c>
      <c r="CL143" s="77" t="str">
        <f t="shared" si="4"/>
        <v>Epigraph-verseepiv</v>
      </c>
    </row>
    <row r="144" spans="1:90">
      <c r="A144" s="76" t="str">
        <f t="shared" si="5"/>
        <v>Epigraph in Text - non-verse (tepi)</v>
      </c>
      <c r="B144" s="5"/>
      <c r="C144" s="5" t="s">
        <v>632</v>
      </c>
      <c r="D144" s="5" t="s">
        <v>1090</v>
      </c>
      <c r="E144" s="5" t="s">
        <v>161</v>
      </c>
      <c r="F144" s="5">
        <v>1</v>
      </c>
      <c r="G144" s="5" t="b">
        <v>0</v>
      </c>
      <c r="H144" s="5">
        <v>1</v>
      </c>
      <c r="I144" s="5" t="s">
        <v>2</v>
      </c>
      <c r="J144" s="5">
        <v>12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36</v>
      </c>
      <c r="AB144" s="5">
        <v>36</v>
      </c>
      <c r="AC144" s="5">
        <v>12</v>
      </c>
      <c r="AD144" s="5">
        <v>12</v>
      </c>
      <c r="AE144" s="5">
        <v>1</v>
      </c>
      <c r="AF144" s="5">
        <v>18</v>
      </c>
      <c r="AG144" s="5">
        <v>0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36" t="s">
        <v>162</v>
      </c>
      <c r="AR144" s="5">
        <v>2</v>
      </c>
      <c r="AS144" s="5">
        <v>48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31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  <c r="BP144" s="8" t="s">
        <v>1471</v>
      </c>
      <c r="BQ144" s="8" t="s">
        <v>1476</v>
      </c>
      <c r="BV144" s="8" t="b">
        <v>1</v>
      </c>
      <c r="CL144" s="77" t="str">
        <f t="shared" si="4"/>
        <v>EpigraphinText-non-versetepi</v>
      </c>
    </row>
    <row r="145" spans="1:90">
      <c r="A145" s="76" t="str">
        <f t="shared" si="5"/>
        <v>Epigraph in Text - Source (teps)</v>
      </c>
      <c r="B145" s="5"/>
      <c r="C145" s="5" t="s">
        <v>633</v>
      </c>
      <c r="D145" s="5" t="s">
        <v>1091</v>
      </c>
      <c r="E145" s="5" t="s">
        <v>201</v>
      </c>
      <c r="F145" s="5">
        <v>1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36</v>
      </c>
      <c r="AB145" s="5">
        <v>36</v>
      </c>
      <c r="AC145" s="5">
        <v>0</v>
      </c>
      <c r="AD145" s="5">
        <v>0</v>
      </c>
      <c r="AE145" s="5">
        <v>2</v>
      </c>
      <c r="AF145" s="5">
        <v>24</v>
      </c>
      <c r="AG145" s="5">
        <v>2</v>
      </c>
      <c r="AH145" s="5">
        <v>0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36" t="s">
        <v>162</v>
      </c>
      <c r="AR145" s="5">
        <v>18</v>
      </c>
      <c r="AS145" s="5">
        <v>12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31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  <c r="BP145" s="8" t="s">
        <v>1471</v>
      </c>
      <c r="BQ145" s="8" t="s">
        <v>1476</v>
      </c>
      <c r="BV145" s="8" t="b">
        <v>1</v>
      </c>
      <c r="CL145" s="77" t="str">
        <f t="shared" si="4"/>
        <v>EpigraphinText-Sourceteps</v>
      </c>
    </row>
    <row r="146" spans="1:90">
      <c r="A146" s="76" t="str">
        <f t="shared" si="5"/>
        <v>Epigraph in Text - verse (tepiv)</v>
      </c>
      <c r="B146" s="5"/>
      <c r="C146" s="5" t="s">
        <v>634</v>
      </c>
      <c r="D146" s="5" t="s">
        <v>1092</v>
      </c>
      <c r="E146" s="5" t="s">
        <v>163</v>
      </c>
      <c r="F146" s="5">
        <v>1</v>
      </c>
      <c r="G146" s="5" t="b">
        <v>0</v>
      </c>
      <c r="H146" s="5">
        <v>1</v>
      </c>
      <c r="I146" s="5" t="s">
        <v>2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54</v>
      </c>
      <c r="AB146" s="5">
        <v>36</v>
      </c>
      <c r="AC146" s="5">
        <v>0</v>
      </c>
      <c r="AD146" s="5">
        <v>0</v>
      </c>
      <c r="AE146" s="5">
        <v>2</v>
      </c>
      <c r="AF146" s="5">
        <v>24</v>
      </c>
      <c r="AG146" s="5">
        <v>0</v>
      </c>
      <c r="AH146" s="5">
        <v>-18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36" t="s">
        <v>162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31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  <c r="BP146" s="8" t="s">
        <v>1471</v>
      </c>
      <c r="BQ146" s="8" t="s">
        <v>1476</v>
      </c>
      <c r="BV146" s="8" t="b">
        <v>1</v>
      </c>
      <c r="CL146" s="77" t="str">
        <f t="shared" si="4"/>
        <v>EpigraphinText-versetepiv</v>
      </c>
    </row>
    <row r="147" spans="1:90">
      <c r="A147" s="76" t="str">
        <f t="shared" si="5"/>
        <v>Epigraph Source (eps)</v>
      </c>
      <c r="B147" s="5"/>
      <c r="C147" s="5" t="s">
        <v>635</v>
      </c>
      <c r="D147" s="5" t="s">
        <v>1093</v>
      </c>
      <c r="E147" s="5" t="s">
        <v>201</v>
      </c>
      <c r="F147" s="5">
        <v>1</v>
      </c>
      <c r="G147" s="5" t="b">
        <v>0</v>
      </c>
      <c r="H147" s="5">
        <v>1</v>
      </c>
      <c r="I147" s="5" t="s">
        <v>74</v>
      </c>
      <c r="J147" s="5">
        <v>12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27</v>
      </c>
      <c r="AC147" s="5">
        <v>0</v>
      </c>
      <c r="AD147" s="5">
        <v>0</v>
      </c>
      <c r="AE147" s="5">
        <v>2</v>
      </c>
      <c r="AF147" s="5">
        <v>24</v>
      </c>
      <c r="AG147" s="5">
        <v>2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37" t="s">
        <v>368</v>
      </c>
      <c r="AR147" s="5">
        <v>2</v>
      </c>
      <c r="AS147" s="5">
        <v>48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6" t="s">
        <v>68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  <c r="BP147" s="8" t="s">
        <v>1471</v>
      </c>
      <c r="BQ147" s="8" t="s">
        <v>1476</v>
      </c>
      <c r="BV147" s="8" t="b">
        <v>1</v>
      </c>
      <c r="CL147" s="77" t="str">
        <f t="shared" si="4"/>
        <v>EpigraphSourceeps</v>
      </c>
    </row>
    <row r="148" spans="1:90">
      <c r="A148" s="76" t="str">
        <f t="shared" si="5"/>
        <v>Example - Verse (vexa)</v>
      </c>
      <c r="B148" s="5"/>
      <c r="C148" s="5" t="s">
        <v>636</v>
      </c>
      <c r="D148" s="5" t="s">
        <v>1094</v>
      </c>
      <c r="E148" s="5" t="s">
        <v>164</v>
      </c>
      <c r="F148" s="5">
        <v>1</v>
      </c>
      <c r="G148" s="5" t="b">
        <v>0</v>
      </c>
      <c r="H148" s="5">
        <v>1</v>
      </c>
      <c r="I148" s="5" t="s">
        <v>74</v>
      </c>
      <c r="J148" s="5">
        <v>12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63.35</v>
      </c>
      <c r="AB148" s="5">
        <v>0</v>
      </c>
      <c r="AC148" s="5">
        <v>0</v>
      </c>
      <c r="AD148" s="5">
        <v>0</v>
      </c>
      <c r="AE148" s="5">
        <v>2</v>
      </c>
      <c r="AF148" s="5">
        <v>24</v>
      </c>
      <c r="AG148" s="5">
        <v>0</v>
      </c>
      <c r="AH148" s="5">
        <v>-36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32" t="s">
        <v>149</v>
      </c>
      <c r="AR148" s="5">
        <v>19</v>
      </c>
      <c r="AS148" s="5">
        <v>6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  <c r="CL148" s="77" t="str">
        <f t="shared" si="4"/>
        <v>Example-Versevexa</v>
      </c>
    </row>
    <row r="149" spans="1:90">
      <c r="A149" s="76" t="str">
        <f t="shared" si="5"/>
        <v>Example (exa)</v>
      </c>
      <c r="B149" s="5"/>
      <c r="C149" s="5" t="s">
        <v>637</v>
      </c>
      <c r="D149" s="5" t="s">
        <v>1095</v>
      </c>
      <c r="E149" s="5" t="s">
        <v>165</v>
      </c>
      <c r="F149" s="5">
        <v>1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27</v>
      </c>
      <c r="AB149" s="5">
        <v>0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0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32" t="s">
        <v>149</v>
      </c>
      <c r="AR149" s="5">
        <v>18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31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  <c r="CL149" s="77" t="str">
        <f t="shared" si="4"/>
        <v>Exampleexa</v>
      </c>
    </row>
    <row r="150" spans="1:90">
      <c r="A150" s="76" t="str">
        <f t="shared" si="5"/>
        <v>Example e.g. (eg)</v>
      </c>
      <c r="B150" s="5"/>
      <c r="C150" s="5" t="s">
        <v>638</v>
      </c>
      <c r="D150" s="5" t="s">
        <v>1096</v>
      </c>
      <c r="E150" s="5" t="s">
        <v>166</v>
      </c>
      <c r="F150" s="5">
        <v>1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27</v>
      </c>
      <c r="AB150" s="5">
        <v>0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32" t="s">
        <v>149</v>
      </c>
      <c r="AR150" s="5">
        <v>2</v>
      </c>
      <c r="AS150" s="5">
        <v>24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31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  <c r="CL150" s="77" t="str">
        <f t="shared" si="4"/>
        <v>Examplee.g.eg</v>
      </c>
    </row>
    <row r="151" spans="1:90">
      <c r="A151" s="76" t="str">
        <f t="shared" si="5"/>
        <v>Example in dialog form (exad)</v>
      </c>
      <c r="B151" s="5"/>
      <c r="C151" s="5" t="s">
        <v>639</v>
      </c>
      <c r="D151" s="5" t="s">
        <v>1097</v>
      </c>
      <c r="E151" s="5" t="s">
        <v>167</v>
      </c>
      <c r="F151" s="5">
        <v>1</v>
      </c>
      <c r="G151" s="5" t="b">
        <v>0</v>
      </c>
      <c r="H151" s="5">
        <v>1</v>
      </c>
      <c r="I151" s="5" t="s">
        <v>74</v>
      </c>
      <c r="J151" s="5">
        <v>12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27.35</v>
      </c>
      <c r="AB151" s="5">
        <v>0</v>
      </c>
      <c r="AC151" s="5">
        <v>6</v>
      </c>
      <c r="AD151" s="5">
        <v>0</v>
      </c>
      <c r="AE151" s="5">
        <v>2</v>
      </c>
      <c r="AF151" s="5">
        <v>24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32" t="s">
        <v>149</v>
      </c>
      <c r="AR151" s="5">
        <v>3</v>
      </c>
      <c r="AS151" s="5">
        <v>24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31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  <c r="CL151" s="77" t="str">
        <f t="shared" si="4"/>
        <v>Exampleindialogformexad</v>
      </c>
    </row>
    <row r="152" spans="1:90">
      <c r="A152" s="76" t="str">
        <f t="shared" si="5"/>
        <v>Extract - Bullet List (extbl)</v>
      </c>
      <c r="B152" s="5"/>
      <c r="C152" s="5" t="s">
        <v>640</v>
      </c>
      <c r="D152" s="5" t="s">
        <v>1098</v>
      </c>
      <c r="E152" s="5" t="s">
        <v>168</v>
      </c>
      <c r="F152" s="5">
        <v>1</v>
      </c>
      <c r="G152" s="5" t="b">
        <v>0</v>
      </c>
      <c r="H152" s="5">
        <v>1</v>
      </c>
      <c r="I152" s="5" t="s">
        <v>74</v>
      </c>
      <c r="J152" s="5">
        <v>12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1</v>
      </c>
      <c r="Z152" s="5" t="b">
        <v>0</v>
      </c>
      <c r="AA152" s="5">
        <v>63.35</v>
      </c>
      <c r="AB152" s="5">
        <v>27.35</v>
      </c>
      <c r="AC152" s="5">
        <v>0</v>
      </c>
      <c r="AD152" s="5">
        <v>0</v>
      </c>
      <c r="AE152" s="5">
        <v>2</v>
      </c>
      <c r="AF152" s="5">
        <v>24</v>
      </c>
      <c r="AG152" s="5">
        <v>0</v>
      </c>
      <c r="AH152" s="5">
        <v>-18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36" t="s">
        <v>162</v>
      </c>
      <c r="AR152" s="5">
        <v>7</v>
      </c>
      <c r="AS152" s="5">
        <v>18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31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1</v>
      </c>
      <c r="BM152" s="5" t="b">
        <v>0</v>
      </c>
      <c r="BN152" s="8" t="s">
        <v>1469</v>
      </c>
      <c r="BO152" s="8" t="s">
        <v>1206</v>
      </c>
      <c r="BP152" s="8" t="s">
        <v>1471</v>
      </c>
      <c r="BU152" s="8" t="b">
        <v>1</v>
      </c>
      <c r="CD152" s="8" t="b">
        <v>1</v>
      </c>
      <c r="CL152" s="77" t="str">
        <f t="shared" si="4"/>
        <v>Extract-BulletListextbl</v>
      </c>
    </row>
    <row r="153" spans="1:90">
      <c r="A153" s="76" t="str">
        <f t="shared" si="5"/>
        <v>Extract - Business Card (extbc)</v>
      </c>
      <c r="B153" s="5"/>
      <c r="C153" s="5" t="s">
        <v>641</v>
      </c>
      <c r="D153" s="5" t="s">
        <v>1099</v>
      </c>
      <c r="E153" s="5" t="s">
        <v>170</v>
      </c>
      <c r="F153" s="5">
        <v>1</v>
      </c>
      <c r="G153" s="5" t="b">
        <v>0</v>
      </c>
      <c r="H153" s="5">
        <v>1</v>
      </c>
      <c r="I153" s="5" t="s">
        <v>2</v>
      </c>
      <c r="J153" s="5">
        <v>12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27</v>
      </c>
      <c r="AB153" s="5">
        <v>27</v>
      </c>
      <c r="AC153" s="5">
        <v>0</v>
      </c>
      <c r="AD153" s="5">
        <v>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36" t="s">
        <v>162</v>
      </c>
      <c r="AR153" s="5">
        <v>7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31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  <c r="BP153" s="8" t="s">
        <v>1471</v>
      </c>
      <c r="BU153" s="8" t="b">
        <v>1</v>
      </c>
      <c r="CL153" s="77" t="str">
        <f t="shared" si="4"/>
        <v>Extract-BusinessCardextbc</v>
      </c>
    </row>
    <row r="154" spans="1:90">
      <c r="A154" s="76" t="str">
        <f t="shared" si="5"/>
        <v>Extract - Diary (extd)</v>
      </c>
      <c r="B154" s="5"/>
      <c r="C154" s="5" t="s">
        <v>642</v>
      </c>
      <c r="D154" s="5" t="s">
        <v>1100</v>
      </c>
      <c r="E154" s="5" t="s">
        <v>171</v>
      </c>
      <c r="F154" s="5">
        <v>1</v>
      </c>
      <c r="G154" s="5" t="b">
        <v>0</v>
      </c>
      <c r="H154" s="5">
        <v>1</v>
      </c>
      <c r="I154" s="5" t="s">
        <v>74</v>
      </c>
      <c r="J154" s="5">
        <v>12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27</v>
      </c>
      <c r="AB154" s="5">
        <v>27</v>
      </c>
      <c r="AC154" s="5">
        <v>0</v>
      </c>
      <c r="AD154" s="5">
        <v>0</v>
      </c>
      <c r="AE154" s="5">
        <v>2</v>
      </c>
      <c r="AF154" s="5">
        <v>24</v>
      </c>
      <c r="AG154" s="5">
        <v>0</v>
      </c>
      <c r="AH154" s="5">
        <v>36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36" t="s">
        <v>162</v>
      </c>
      <c r="AR154" s="5">
        <v>2</v>
      </c>
      <c r="AS154" s="5">
        <v>4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31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  <c r="BP154" s="8" t="s">
        <v>1471</v>
      </c>
      <c r="BU154" s="8" t="b">
        <v>1</v>
      </c>
      <c r="CL154" s="77" t="str">
        <f t="shared" si="4"/>
        <v>Extract-Diaryextd</v>
      </c>
    </row>
    <row r="155" spans="1:90">
      <c r="A155" s="76" t="str">
        <f t="shared" si="5"/>
        <v>Extract - Email (extem)</v>
      </c>
      <c r="B155" s="5"/>
      <c r="C155" s="5" t="s">
        <v>643</v>
      </c>
      <c r="D155" s="5" t="s">
        <v>1101</v>
      </c>
      <c r="E155" s="5" t="s">
        <v>173</v>
      </c>
      <c r="F155" s="5">
        <v>1</v>
      </c>
      <c r="G155" s="5" t="b">
        <v>0</v>
      </c>
      <c r="H155" s="5">
        <v>1</v>
      </c>
      <c r="I155" s="5" t="s">
        <v>144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27.35</v>
      </c>
      <c r="AB155" s="5">
        <v>27.35</v>
      </c>
      <c r="AC155" s="5">
        <v>0</v>
      </c>
      <c r="AD155" s="5">
        <v>6</v>
      </c>
      <c r="AE155" s="5">
        <v>1</v>
      </c>
      <c r="AF155" s="5">
        <v>18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6" t="s">
        <v>162</v>
      </c>
      <c r="AR155" s="5">
        <v>18</v>
      </c>
      <c r="AS155" s="5">
        <v>12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  <c r="BP155" s="8" t="s">
        <v>1471</v>
      </c>
      <c r="BU155" s="8" t="b">
        <v>1</v>
      </c>
      <c r="CL155" s="77" t="str">
        <f t="shared" si="4"/>
        <v>Extract-Emailextem</v>
      </c>
    </row>
    <row r="156" spans="1:90">
      <c r="A156" s="76" t="str">
        <f t="shared" si="5"/>
        <v>Extract - Email Heading (emh)</v>
      </c>
      <c r="B156" s="5"/>
      <c r="C156" s="5" t="s">
        <v>644</v>
      </c>
      <c r="D156" s="5" t="s">
        <v>1102</v>
      </c>
      <c r="E156" s="5" t="s">
        <v>173</v>
      </c>
      <c r="F156" s="5">
        <v>1</v>
      </c>
      <c r="G156" s="5" t="b">
        <v>0</v>
      </c>
      <c r="H156" s="5">
        <v>1</v>
      </c>
      <c r="I156" s="5" t="s">
        <v>2</v>
      </c>
      <c r="J156" s="5">
        <v>10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</v>
      </c>
      <c r="AC156" s="5">
        <v>0</v>
      </c>
      <c r="AD156" s="5">
        <v>0</v>
      </c>
      <c r="AE156" s="5">
        <v>1</v>
      </c>
      <c r="AF156" s="5">
        <v>18</v>
      </c>
      <c r="AG156" s="5">
        <v>0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6" t="s">
        <v>162</v>
      </c>
      <c r="AR156" s="5">
        <v>19</v>
      </c>
      <c r="AS156" s="5">
        <v>6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  <c r="BP156" s="8" t="s">
        <v>1471</v>
      </c>
      <c r="BU156" s="8" t="b">
        <v>1</v>
      </c>
      <c r="CL156" s="77" t="str">
        <f t="shared" si="4"/>
        <v>Extract-EmailHeadingemh</v>
      </c>
    </row>
    <row r="157" spans="1:90">
      <c r="A157" s="76" t="str">
        <f t="shared" si="5"/>
        <v>Extract - Headline (exthl)</v>
      </c>
      <c r="B157" s="5"/>
      <c r="C157" s="5" t="s">
        <v>645</v>
      </c>
      <c r="D157" s="5" t="s">
        <v>1103</v>
      </c>
      <c r="E157" s="5" t="s">
        <v>169</v>
      </c>
      <c r="F157" s="5">
        <v>1</v>
      </c>
      <c r="G157" s="5" t="b">
        <v>0</v>
      </c>
      <c r="H157" s="5">
        <v>1</v>
      </c>
      <c r="I157" s="5" t="s">
        <v>4</v>
      </c>
      <c r="J157" s="5">
        <v>11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27</v>
      </c>
      <c r="AB157" s="5">
        <v>27</v>
      </c>
      <c r="AC157" s="5">
        <v>0</v>
      </c>
      <c r="AD157" s="5">
        <v>0</v>
      </c>
      <c r="AE157" s="5">
        <v>2</v>
      </c>
      <c r="AF157" s="5">
        <v>24</v>
      </c>
      <c r="AG157" s="5">
        <v>1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6" t="s">
        <v>162</v>
      </c>
      <c r="AR157" s="5">
        <v>8</v>
      </c>
      <c r="AS157" s="5">
        <v>12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31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  <c r="BP157" s="8" t="s">
        <v>1471</v>
      </c>
      <c r="BU157" s="8" t="b">
        <v>1</v>
      </c>
      <c r="CL157" s="77" t="str">
        <f t="shared" si="4"/>
        <v>Extract-Headlineexthl</v>
      </c>
    </row>
    <row r="158" spans="1:90">
      <c r="A158" s="76" t="str">
        <f t="shared" si="5"/>
        <v>Extract - Inscription (ins)</v>
      </c>
      <c r="B158" s="5"/>
      <c r="C158" s="5" t="s">
        <v>646</v>
      </c>
      <c r="D158" s="5" t="s">
        <v>1104</v>
      </c>
      <c r="E158" s="5" t="s">
        <v>201</v>
      </c>
      <c r="F158" s="5">
        <v>1</v>
      </c>
      <c r="G158" s="5" t="b">
        <v>0</v>
      </c>
      <c r="H158" s="5">
        <v>1</v>
      </c>
      <c r="I158" s="5" t="s">
        <v>84</v>
      </c>
      <c r="J158" s="5">
        <v>10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27</v>
      </c>
      <c r="AB158" s="5">
        <v>18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6" t="s">
        <v>162</v>
      </c>
      <c r="AR158" s="5">
        <v>1</v>
      </c>
      <c r="AS158" s="5">
        <v>48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31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  <c r="BP158" s="8" t="s">
        <v>1471</v>
      </c>
      <c r="BU158" s="8" t="b">
        <v>1</v>
      </c>
      <c r="CL158" s="77" t="str">
        <f t="shared" si="4"/>
        <v>Extract-Inscriptionins</v>
      </c>
    </row>
    <row r="159" spans="1:90">
      <c r="A159" s="76" t="str">
        <f t="shared" si="5"/>
        <v>Extract - Newspaper (news)</v>
      </c>
      <c r="B159" s="5"/>
      <c r="C159" s="5" t="s">
        <v>647</v>
      </c>
      <c r="D159" s="5" t="s">
        <v>1105</v>
      </c>
      <c r="E159" s="5" t="s">
        <v>174</v>
      </c>
      <c r="F159" s="5">
        <v>1</v>
      </c>
      <c r="G159" s="5" t="b">
        <v>0</v>
      </c>
      <c r="H159" s="5">
        <v>1</v>
      </c>
      <c r="I159" s="5" t="s">
        <v>74</v>
      </c>
      <c r="J159" s="5">
        <v>12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27</v>
      </c>
      <c r="AB159" s="5">
        <v>27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36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6" t="s">
        <v>162</v>
      </c>
      <c r="AR159" s="5">
        <v>1</v>
      </c>
      <c r="AS159" s="5">
        <v>2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31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  <c r="BP159" s="8" t="s">
        <v>1471</v>
      </c>
      <c r="BU159" s="8" t="b">
        <v>1</v>
      </c>
      <c r="CL159" s="77" t="str">
        <f t="shared" si="4"/>
        <v>Extract-Newspapernews</v>
      </c>
    </row>
    <row r="160" spans="1:90">
      <c r="A160" s="76" t="str">
        <f t="shared" si="5"/>
        <v>Extract - Note (extn)</v>
      </c>
      <c r="B160" s="5"/>
      <c r="C160" s="5" t="s">
        <v>648</v>
      </c>
      <c r="D160" s="5" t="s">
        <v>1106</v>
      </c>
      <c r="E160" s="5" t="s">
        <v>175</v>
      </c>
      <c r="F160" s="5">
        <v>1</v>
      </c>
      <c r="G160" s="5" t="b">
        <v>0</v>
      </c>
      <c r="H160" s="5">
        <v>1</v>
      </c>
      <c r="I160" s="5" t="s">
        <v>74</v>
      </c>
      <c r="J160" s="5">
        <v>10</v>
      </c>
      <c r="K160" s="5" t="b">
        <v>0</v>
      </c>
      <c r="L160" s="5" t="b">
        <v>0</v>
      </c>
      <c r="M160" s="6" t="s">
        <v>68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27</v>
      </c>
      <c r="AB160" s="5">
        <v>27</v>
      </c>
      <c r="AC160" s="5">
        <v>6</v>
      </c>
      <c r="AD160" s="5">
        <v>0</v>
      </c>
      <c r="AE160" s="5">
        <v>1</v>
      </c>
      <c r="AF160" s="5">
        <v>18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0</v>
      </c>
      <c r="AM160" s="6" t="s">
        <v>68</v>
      </c>
      <c r="AN160" s="5">
        <v>0</v>
      </c>
      <c r="AO160" s="5">
        <v>6</v>
      </c>
      <c r="AP160" s="5" t="b">
        <v>1</v>
      </c>
      <c r="AQ160" s="36" t="s">
        <v>162</v>
      </c>
      <c r="AR160" s="5">
        <v>15</v>
      </c>
      <c r="AS160" s="5">
        <v>36</v>
      </c>
      <c r="AT160" s="5" t="b">
        <v>0</v>
      </c>
      <c r="AU160" s="6" t="s">
        <v>68</v>
      </c>
      <c r="AV160" s="5">
        <v>0</v>
      </c>
      <c r="AW160" s="5">
        <v>6</v>
      </c>
      <c r="AX160" s="5" t="b">
        <v>0</v>
      </c>
      <c r="AY160" s="6" t="s">
        <v>68</v>
      </c>
      <c r="AZ160" s="5">
        <v>0</v>
      </c>
      <c r="BA160" s="5">
        <v>6</v>
      </c>
      <c r="BB160" s="5">
        <v>31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  <c r="BP160" s="8" t="s">
        <v>1471</v>
      </c>
      <c r="BU160" s="8" t="b">
        <v>1</v>
      </c>
      <c r="CL160" s="77" t="str">
        <f t="shared" si="4"/>
        <v>Extract-Noteextn</v>
      </c>
    </row>
    <row r="161" spans="1:90">
      <c r="A161" s="76" t="str">
        <f t="shared" si="5"/>
        <v>Extract - Note Head (extnh)</v>
      </c>
      <c r="B161" s="5"/>
      <c r="C161" s="5" t="s">
        <v>649</v>
      </c>
      <c r="D161" s="5" t="s">
        <v>1107</v>
      </c>
      <c r="E161" s="5" t="s">
        <v>175</v>
      </c>
      <c r="F161" s="5">
        <v>1</v>
      </c>
      <c r="G161" s="5" t="b">
        <v>0</v>
      </c>
      <c r="H161" s="5">
        <v>1</v>
      </c>
      <c r="I161" s="5" t="s">
        <v>2</v>
      </c>
      <c r="J161" s="5">
        <v>9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27</v>
      </c>
      <c r="AB161" s="5">
        <v>27</v>
      </c>
      <c r="AC161" s="5">
        <v>6</v>
      </c>
      <c r="AD161" s="5">
        <v>0</v>
      </c>
      <c r="AE161" s="5">
        <v>1</v>
      </c>
      <c r="AF161" s="5">
        <v>18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1</v>
      </c>
      <c r="AQ161" s="36" t="s">
        <v>162</v>
      </c>
      <c r="AR161" s="5">
        <v>16</v>
      </c>
      <c r="AS161" s="5">
        <v>36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31</v>
      </c>
      <c r="BC161" s="5">
        <v>4</v>
      </c>
      <c r="BD161" s="5">
        <v>1</v>
      </c>
      <c r="BE161" s="5">
        <v>1</v>
      </c>
      <c r="BF161" s="6" t="s">
        <v>68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  <c r="BP161" s="8" t="s">
        <v>1471</v>
      </c>
      <c r="BU161" s="8" t="b">
        <v>1</v>
      </c>
      <c r="CL161" s="77" t="str">
        <f t="shared" si="4"/>
        <v>Extract-NoteHeadextnh</v>
      </c>
    </row>
    <row r="162" spans="1:90">
      <c r="A162" s="76" t="str">
        <f t="shared" si="5"/>
        <v>Extract - Num List (extnl)</v>
      </c>
      <c r="B162" s="5"/>
      <c r="C162" s="5" t="s">
        <v>650</v>
      </c>
      <c r="D162" s="5" t="s">
        <v>1108</v>
      </c>
      <c r="E162" s="5" t="s">
        <v>176</v>
      </c>
      <c r="F162" s="5">
        <v>1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72</v>
      </c>
      <c r="AB162" s="5">
        <v>27.35</v>
      </c>
      <c r="AC162" s="5">
        <v>0</v>
      </c>
      <c r="AD162" s="5">
        <v>0</v>
      </c>
      <c r="AE162" s="5">
        <v>2</v>
      </c>
      <c r="AF162" s="5">
        <v>24</v>
      </c>
      <c r="AG162" s="5">
        <v>0</v>
      </c>
      <c r="AH162" s="5">
        <v>-36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1</v>
      </c>
      <c r="AQ162" s="36" t="s">
        <v>162</v>
      </c>
      <c r="AR162" s="5">
        <v>7</v>
      </c>
      <c r="AS162" s="5">
        <v>18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31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  <c r="BN162" s="8" t="s">
        <v>1469</v>
      </c>
      <c r="BO162" s="8" t="s">
        <v>1470</v>
      </c>
      <c r="BP162" s="8" t="s">
        <v>1471</v>
      </c>
      <c r="BU162" s="8" t="b">
        <v>1</v>
      </c>
      <c r="CE162" s="8" t="b">
        <v>1</v>
      </c>
      <c r="CL162" s="77" t="str">
        <f t="shared" si="4"/>
        <v>Extract-NumListextnl</v>
      </c>
    </row>
    <row r="163" spans="1:90">
      <c r="A163" s="76" t="str">
        <f t="shared" si="5"/>
        <v>Extract - Schedule of Events (sch)</v>
      </c>
      <c r="B163" s="5"/>
      <c r="C163" s="5" t="s">
        <v>651</v>
      </c>
      <c r="D163" s="5" t="s">
        <v>1109</v>
      </c>
      <c r="E163" s="5" t="s">
        <v>177</v>
      </c>
      <c r="F163" s="5">
        <v>1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27</v>
      </c>
      <c r="AB163" s="5">
        <v>18</v>
      </c>
      <c r="AC163" s="5">
        <v>6</v>
      </c>
      <c r="AD163" s="5">
        <v>0</v>
      </c>
      <c r="AE163" s="5">
        <v>2</v>
      </c>
      <c r="AF163" s="5">
        <v>24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1</v>
      </c>
      <c r="AQ163" s="36" t="s">
        <v>162</v>
      </c>
      <c r="AR163" s="5">
        <v>1</v>
      </c>
      <c r="AS163" s="5">
        <v>8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31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  <c r="BP163" s="8" t="s">
        <v>1471</v>
      </c>
      <c r="BU163" s="8" t="b">
        <v>1</v>
      </c>
      <c r="CL163" s="77" t="str">
        <f t="shared" si="4"/>
        <v>Extract-ScheduleofEventssch</v>
      </c>
    </row>
    <row r="164" spans="1:90">
      <c r="A164" s="76" t="str">
        <f t="shared" si="5"/>
        <v>Extract - Song Lyric (extsl)</v>
      </c>
      <c r="B164" s="5"/>
      <c r="C164" s="5" t="s">
        <v>652</v>
      </c>
      <c r="D164" s="5" t="s">
        <v>1110</v>
      </c>
      <c r="E164" s="5" t="s">
        <v>178</v>
      </c>
      <c r="F164" s="5">
        <v>1</v>
      </c>
      <c r="G164" s="5" t="b">
        <v>0</v>
      </c>
      <c r="H164" s="5">
        <v>1</v>
      </c>
      <c r="I164" s="5" t="s">
        <v>2</v>
      </c>
      <c r="J164" s="5">
        <v>11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72</v>
      </c>
      <c r="AB164" s="5">
        <v>36</v>
      </c>
      <c r="AC164" s="5">
        <v>0</v>
      </c>
      <c r="AD164" s="5">
        <v>0</v>
      </c>
      <c r="AE164" s="5">
        <v>2</v>
      </c>
      <c r="AF164" s="5">
        <v>24</v>
      </c>
      <c r="AG164" s="5">
        <v>0</v>
      </c>
      <c r="AH164" s="5">
        <v>-36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1</v>
      </c>
      <c r="AQ164" s="36" t="s">
        <v>162</v>
      </c>
      <c r="AR164" s="5">
        <v>7</v>
      </c>
      <c r="AS164" s="5">
        <v>18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31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  <c r="BP164" s="8" t="s">
        <v>1471</v>
      </c>
      <c r="BU164" s="8" t="b">
        <v>1</v>
      </c>
      <c r="CL164" s="77" t="str">
        <f t="shared" si="4"/>
        <v>Extract-SongLyricextsl</v>
      </c>
    </row>
    <row r="165" spans="1:90">
      <c r="A165" s="76" t="str">
        <f t="shared" si="5"/>
        <v>Extract - Telegram (tel)</v>
      </c>
      <c r="B165" s="5"/>
      <c r="C165" s="5" t="s">
        <v>653</v>
      </c>
      <c r="D165" s="5" t="s">
        <v>1111</v>
      </c>
      <c r="E165" s="5" t="s">
        <v>179</v>
      </c>
      <c r="F165" s="5">
        <v>1</v>
      </c>
      <c r="G165" s="5" t="b">
        <v>0</v>
      </c>
      <c r="H165" s="5">
        <v>1</v>
      </c>
      <c r="I165" s="5" t="s">
        <v>144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27.35</v>
      </c>
      <c r="AB165" s="5">
        <v>27.35</v>
      </c>
      <c r="AC165" s="5">
        <v>0</v>
      </c>
      <c r="AD165" s="5">
        <v>6</v>
      </c>
      <c r="AE165" s="5">
        <v>1</v>
      </c>
      <c r="AF165" s="5">
        <v>18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6" t="s">
        <v>162</v>
      </c>
      <c r="AR165" s="5">
        <v>18</v>
      </c>
      <c r="AS165" s="5">
        <v>12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31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0</v>
      </c>
      <c r="BP165" s="8" t="s">
        <v>1471</v>
      </c>
      <c r="BU165" s="8" t="b">
        <v>1</v>
      </c>
      <c r="CL165" s="77" t="str">
        <f t="shared" si="4"/>
        <v>Extract-Telegramtel</v>
      </c>
    </row>
    <row r="166" spans="1:90">
      <c r="A166" s="76" t="str">
        <f t="shared" si="5"/>
        <v>Extract - Transcript (trans)</v>
      </c>
      <c r="B166" s="5"/>
      <c r="C166" s="5" t="s">
        <v>654</v>
      </c>
      <c r="D166" s="5" t="s">
        <v>1112</v>
      </c>
      <c r="E166" s="5" t="s">
        <v>180</v>
      </c>
      <c r="F166" s="5">
        <v>1</v>
      </c>
      <c r="G166" s="5" t="b">
        <v>0</v>
      </c>
      <c r="H166" s="5">
        <v>1</v>
      </c>
      <c r="I166" s="5" t="s">
        <v>74</v>
      </c>
      <c r="J166" s="5">
        <v>12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27</v>
      </c>
      <c r="AB166" s="5">
        <v>27</v>
      </c>
      <c r="AC166" s="5">
        <v>0</v>
      </c>
      <c r="AD166" s="5">
        <v>0</v>
      </c>
      <c r="AE166" s="5">
        <v>2</v>
      </c>
      <c r="AF166" s="5">
        <v>24</v>
      </c>
      <c r="AG166" s="5">
        <v>0</v>
      </c>
      <c r="AH166" s="5">
        <v>36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6" t="s">
        <v>162</v>
      </c>
      <c r="AR166" s="5">
        <v>4</v>
      </c>
      <c r="AS166" s="5">
        <v>4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31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  <c r="BP166" s="8" t="s">
        <v>1471</v>
      </c>
      <c r="BU166" s="8" t="b">
        <v>1</v>
      </c>
      <c r="CL166" s="77" t="str">
        <f t="shared" si="4"/>
        <v>Extract-Transcripttrans</v>
      </c>
    </row>
    <row r="167" spans="1:90">
      <c r="A167" s="76" t="str">
        <f t="shared" si="5"/>
        <v>Extract - Verse or Poetry (extv)</v>
      </c>
      <c r="B167" s="5"/>
      <c r="C167" s="5" t="s">
        <v>655</v>
      </c>
      <c r="D167" s="5" t="s">
        <v>1113</v>
      </c>
      <c r="E167" s="5" t="s">
        <v>181</v>
      </c>
      <c r="F167" s="5">
        <v>1</v>
      </c>
      <c r="G167" s="5" t="b">
        <v>0</v>
      </c>
      <c r="H167" s="5">
        <v>1</v>
      </c>
      <c r="I167" s="5" t="s">
        <v>74</v>
      </c>
      <c r="J167" s="5">
        <v>12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54</v>
      </c>
      <c r="AB167" s="5">
        <v>36</v>
      </c>
      <c r="AC167" s="5">
        <v>0</v>
      </c>
      <c r="AD167" s="5">
        <v>0</v>
      </c>
      <c r="AE167" s="5">
        <v>2</v>
      </c>
      <c r="AF167" s="5">
        <v>24</v>
      </c>
      <c r="AG167" s="5">
        <v>0</v>
      </c>
      <c r="AH167" s="5">
        <v>-18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6" t="s">
        <v>162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  <c r="BP167" s="8" t="s">
        <v>1471</v>
      </c>
      <c r="BU167" s="8" t="b">
        <v>1</v>
      </c>
      <c r="CL167" s="77" t="str">
        <f t="shared" si="4"/>
        <v>Extract-VerseorPoetryextv</v>
      </c>
    </row>
    <row r="168" spans="1:90">
      <c r="A168" s="76" t="str">
        <f t="shared" si="5"/>
        <v>Extract - Website (extws)</v>
      </c>
      <c r="B168" s="5"/>
      <c r="C168" s="5" t="s">
        <v>656</v>
      </c>
      <c r="D168" s="5" t="s">
        <v>1114</v>
      </c>
      <c r="E168" s="5" t="s">
        <v>182</v>
      </c>
      <c r="F168" s="5">
        <v>1</v>
      </c>
      <c r="G168" s="5" t="b">
        <v>0</v>
      </c>
      <c r="H168" s="5">
        <v>1</v>
      </c>
      <c r="I168" s="5" t="s">
        <v>144</v>
      </c>
      <c r="J168" s="5">
        <v>12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0</v>
      </c>
      <c r="Y168" s="5" t="b">
        <v>0</v>
      </c>
      <c r="Z168" s="5" t="b">
        <v>0</v>
      </c>
      <c r="AA168" s="5">
        <v>27</v>
      </c>
      <c r="AB168" s="5">
        <v>27</v>
      </c>
      <c r="AC168" s="5">
        <v>0</v>
      </c>
      <c r="AD168" s="5">
        <v>0</v>
      </c>
      <c r="AE168" s="5">
        <v>1</v>
      </c>
      <c r="AF168" s="5">
        <v>18</v>
      </c>
      <c r="AG168" s="5">
        <v>0</v>
      </c>
      <c r="AH168" s="5">
        <v>0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6" t="s">
        <v>162</v>
      </c>
      <c r="AR168" s="5">
        <v>1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  <c r="BP168" s="8" t="s">
        <v>1471</v>
      </c>
      <c r="BU168" s="8" t="b">
        <v>1</v>
      </c>
      <c r="CL168" s="77" t="str">
        <f t="shared" si="4"/>
        <v>Extract-Websiteextws</v>
      </c>
    </row>
    <row r="169" spans="1:90">
      <c r="A169" s="76" t="str">
        <f t="shared" si="5"/>
        <v>Extract (ext)</v>
      </c>
      <c r="B169" s="5"/>
      <c r="C169" s="5" t="s">
        <v>657</v>
      </c>
      <c r="D169" s="5" t="s">
        <v>1115</v>
      </c>
      <c r="E169" s="5" t="s">
        <v>172</v>
      </c>
      <c r="F169" s="5">
        <v>1</v>
      </c>
      <c r="G169" s="5" t="b">
        <v>1</v>
      </c>
      <c r="H169" s="5">
        <v>1</v>
      </c>
      <c r="I169" s="5" t="s">
        <v>74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27</v>
      </c>
      <c r="AB169" s="5">
        <v>27</v>
      </c>
      <c r="AC169" s="5">
        <v>0</v>
      </c>
      <c r="AD169" s="5">
        <v>0</v>
      </c>
      <c r="AE169" s="5">
        <v>2</v>
      </c>
      <c r="AF169" s="5">
        <v>24</v>
      </c>
      <c r="AG169" s="5">
        <v>0</v>
      </c>
      <c r="AH169" s="5">
        <v>36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6" t="s">
        <v>162</v>
      </c>
      <c r="AR169" s="5">
        <v>1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  <c r="BP169" s="8" t="s">
        <v>1471</v>
      </c>
      <c r="BU169" s="8" t="b">
        <v>1</v>
      </c>
      <c r="CL169" s="77" t="str">
        <f t="shared" si="4"/>
        <v>Extractext</v>
      </c>
    </row>
    <row r="170" spans="1:90">
      <c r="A170" s="76" t="str">
        <f t="shared" si="5"/>
        <v>Extract Head (exth)</v>
      </c>
      <c r="B170" s="5"/>
      <c r="C170" s="5" t="s">
        <v>658</v>
      </c>
      <c r="D170" s="5" t="s">
        <v>1116</v>
      </c>
      <c r="E170" s="5" t="s">
        <v>169</v>
      </c>
      <c r="F170" s="5">
        <v>1</v>
      </c>
      <c r="G170" s="5" t="b">
        <v>0</v>
      </c>
      <c r="H170" s="5">
        <v>1</v>
      </c>
      <c r="I170" s="5" t="s">
        <v>4</v>
      </c>
      <c r="J170" s="5">
        <v>11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27</v>
      </c>
      <c r="AB170" s="5">
        <v>27</v>
      </c>
      <c r="AC170" s="5">
        <v>6</v>
      </c>
      <c r="AD170" s="5">
        <v>0</v>
      </c>
      <c r="AE170" s="5">
        <v>2</v>
      </c>
      <c r="AF170" s="5">
        <v>24</v>
      </c>
      <c r="AG170" s="5">
        <v>0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6" t="s">
        <v>162</v>
      </c>
      <c r="AR170" s="5">
        <v>2</v>
      </c>
      <c r="AS170" s="5">
        <v>48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  <c r="BP170" s="8" t="s">
        <v>1471</v>
      </c>
      <c r="BU170" s="8" t="b">
        <v>1</v>
      </c>
      <c r="CL170" s="77" t="str">
        <f t="shared" si="4"/>
        <v>ExtractHeadexth</v>
      </c>
    </row>
    <row r="171" spans="1:90">
      <c r="A171" s="76" t="str">
        <f t="shared" si="5"/>
        <v>Extract Source (exts)</v>
      </c>
      <c r="B171" s="5"/>
      <c r="C171" s="5" t="s">
        <v>659</v>
      </c>
      <c r="D171" s="5" t="s">
        <v>1117</v>
      </c>
      <c r="E171" s="5" t="s">
        <v>201</v>
      </c>
      <c r="F171" s="5">
        <v>1</v>
      </c>
      <c r="G171" s="5" t="b">
        <v>0</v>
      </c>
      <c r="H171" s="5">
        <v>1</v>
      </c>
      <c r="I171" s="5" t="s">
        <v>2</v>
      </c>
      <c r="J171" s="5">
        <v>11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27.35</v>
      </c>
      <c r="AB171" s="5">
        <v>27.35</v>
      </c>
      <c r="AC171" s="5">
        <v>0</v>
      </c>
      <c r="AD171" s="5">
        <v>0</v>
      </c>
      <c r="AE171" s="5">
        <v>1</v>
      </c>
      <c r="AF171" s="5">
        <v>18</v>
      </c>
      <c r="AG171" s="5">
        <v>2</v>
      </c>
      <c r="AH171" s="5">
        <v>0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6" t="s">
        <v>162</v>
      </c>
      <c r="AR171" s="5">
        <v>1</v>
      </c>
      <c r="AS171" s="5">
        <v>18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  <c r="BP171" s="8" t="s">
        <v>1471</v>
      </c>
      <c r="BU171" s="8" t="b">
        <v>1</v>
      </c>
      <c r="CL171" s="77" t="str">
        <f t="shared" si="4"/>
        <v>ExtractSourceexts</v>
      </c>
    </row>
    <row r="172" spans="1:90">
      <c r="A172" s="76" t="str">
        <f t="shared" si="5"/>
        <v>Extract-No Indent (ext1)</v>
      </c>
      <c r="B172" s="5"/>
      <c r="C172" s="5" t="s">
        <v>660</v>
      </c>
      <c r="D172" s="5" t="s">
        <v>1118</v>
      </c>
      <c r="E172" s="5" t="s">
        <v>172</v>
      </c>
      <c r="F172" s="5">
        <v>1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27.35</v>
      </c>
      <c r="AB172" s="5">
        <v>27.35</v>
      </c>
      <c r="AC172" s="5">
        <v>0</v>
      </c>
      <c r="AD172" s="5">
        <v>0</v>
      </c>
      <c r="AE172" s="5">
        <v>2</v>
      </c>
      <c r="AF172" s="5">
        <v>24</v>
      </c>
      <c r="AG172" s="5">
        <v>0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6" t="s">
        <v>162</v>
      </c>
      <c r="AR172" s="5">
        <v>7</v>
      </c>
      <c r="AS172" s="5">
        <v>18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  <c r="BP172" s="8" t="s">
        <v>1471</v>
      </c>
      <c r="BU172" s="8" t="b">
        <v>1</v>
      </c>
      <c r="CL172" s="77" t="str">
        <f t="shared" si="4"/>
        <v>Extract-NoIndentext1</v>
      </c>
    </row>
    <row r="173" spans="1:90">
      <c r="A173" s="76" t="str">
        <f t="shared" si="5"/>
        <v>Figure Body Text (fgbtx)</v>
      </c>
      <c r="B173" s="5"/>
      <c r="C173" s="5" t="s">
        <v>661</v>
      </c>
      <c r="D173" s="5" t="s">
        <v>1119</v>
      </c>
      <c r="E173" s="5" t="s">
        <v>183</v>
      </c>
      <c r="F173" s="5">
        <v>1</v>
      </c>
      <c r="G173" s="5" t="b">
        <v>0</v>
      </c>
      <c r="H173" s="5">
        <v>1</v>
      </c>
      <c r="I173" s="5" t="s">
        <v>2</v>
      </c>
      <c r="J173" s="5">
        <v>11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0</v>
      </c>
      <c r="AB173" s="5">
        <v>0</v>
      </c>
      <c r="AC173" s="5">
        <v>0</v>
      </c>
      <c r="AD173" s="5">
        <v>10</v>
      </c>
      <c r="AE173" s="5">
        <v>5</v>
      </c>
      <c r="AF173" s="5">
        <v>13.8</v>
      </c>
      <c r="AG173" s="5">
        <v>0</v>
      </c>
      <c r="AH173" s="5">
        <v>18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0</v>
      </c>
      <c r="AQ173" s="6" t="s">
        <v>68</v>
      </c>
      <c r="AR173" s="5">
        <v>0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4</v>
      </c>
      <c r="BC173" s="5">
        <v>4</v>
      </c>
      <c r="BD173" s="5">
        <v>1</v>
      </c>
      <c r="BE173" s="5">
        <v>1</v>
      </c>
      <c r="BF173" s="27" t="s">
        <v>375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  <c r="CL173" s="77" t="str">
        <f t="shared" si="4"/>
        <v>FigureBodyTextfgbtx</v>
      </c>
    </row>
    <row r="174" spans="1:90">
      <c r="A174" s="76" t="str">
        <f t="shared" si="5"/>
        <v>Figure Body Text No-Indent (fgbtx1)</v>
      </c>
      <c r="B174" s="5"/>
      <c r="C174" s="5" t="s">
        <v>662</v>
      </c>
      <c r="D174" s="5" t="s">
        <v>1120</v>
      </c>
      <c r="E174" s="5" t="s">
        <v>183</v>
      </c>
      <c r="F174" s="5">
        <v>1</v>
      </c>
      <c r="G174" s="5" t="b">
        <v>0</v>
      </c>
      <c r="H174" s="5">
        <v>1</v>
      </c>
      <c r="I174" s="5" t="s">
        <v>2</v>
      </c>
      <c r="J174" s="5">
        <v>11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0</v>
      </c>
      <c r="AB174" s="5">
        <v>0</v>
      </c>
      <c r="AC174" s="5">
        <v>0</v>
      </c>
      <c r="AD174" s="5">
        <v>10</v>
      </c>
      <c r="AE174" s="5">
        <v>5</v>
      </c>
      <c r="AF174" s="5">
        <v>13.8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0</v>
      </c>
      <c r="AQ174" s="6" t="s">
        <v>68</v>
      </c>
      <c r="AR174" s="5">
        <v>0</v>
      </c>
      <c r="AS174" s="5">
        <v>6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4</v>
      </c>
      <c r="BC174" s="5">
        <v>4</v>
      </c>
      <c r="BD174" s="5">
        <v>1</v>
      </c>
      <c r="BE174" s="5">
        <v>1</v>
      </c>
      <c r="BF174" s="27" t="s">
        <v>375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  <c r="CL174" s="77" t="str">
        <f t="shared" si="4"/>
        <v>FigureBodyTextNo-Indentfgbtx1</v>
      </c>
    </row>
    <row r="175" spans="1:90">
      <c r="A175" s="76" t="str">
        <f t="shared" si="5"/>
        <v>Figure Column Head (fgch)</v>
      </c>
      <c r="B175" s="5"/>
      <c r="C175" s="5" t="s">
        <v>663</v>
      </c>
      <c r="D175" s="5" t="s">
        <v>1121</v>
      </c>
      <c r="E175" s="5" t="s">
        <v>184</v>
      </c>
      <c r="F175" s="5">
        <v>1</v>
      </c>
      <c r="G175" s="5" t="b">
        <v>0</v>
      </c>
      <c r="H175" s="5">
        <v>1</v>
      </c>
      <c r="I175" s="5" t="s">
        <v>2</v>
      </c>
      <c r="J175" s="5">
        <v>11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0</v>
      </c>
      <c r="AB175" s="5">
        <v>0</v>
      </c>
      <c r="AC175" s="5">
        <v>0</v>
      </c>
      <c r="AD175" s="5">
        <v>10</v>
      </c>
      <c r="AE175" s="5">
        <v>5</v>
      </c>
      <c r="AF175" s="5">
        <v>13.8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0</v>
      </c>
      <c r="AQ175" s="6" t="s">
        <v>68</v>
      </c>
      <c r="AR175" s="5">
        <v>0</v>
      </c>
      <c r="AS175" s="5">
        <v>6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4</v>
      </c>
      <c r="BC175" s="5">
        <v>4</v>
      </c>
      <c r="BD175" s="5">
        <v>1</v>
      </c>
      <c r="BE175" s="5">
        <v>1</v>
      </c>
      <c r="BF175" s="27" t="s">
        <v>375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  <c r="CL175" s="77" t="str">
        <f t="shared" si="4"/>
        <v>FigureColumnHeadfgch</v>
      </c>
    </row>
    <row r="176" spans="1:90">
      <c r="A176" s="76" t="str">
        <f t="shared" si="5"/>
        <v>Figure Footnote (fgfn)</v>
      </c>
      <c r="B176" s="5"/>
      <c r="C176" s="5" t="s">
        <v>664</v>
      </c>
      <c r="D176" s="5" t="s">
        <v>1122</v>
      </c>
      <c r="E176" s="5" t="s">
        <v>184</v>
      </c>
      <c r="F176" s="5">
        <v>1</v>
      </c>
      <c r="G176" s="5" t="b">
        <v>0</v>
      </c>
      <c r="H176" s="5">
        <v>1</v>
      </c>
      <c r="I176" s="5" t="s">
        <v>74</v>
      </c>
      <c r="J176" s="5">
        <v>10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0</v>
      </c>
      <c r="AQ176" s="6" t="s">
        <v>68</v>
      </c>
      <c r="AR176" s="5">
        <v>0</v>
      </c>
      <c r="AS176" s="5">
        <v>6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4</v>
      </c>
      <c r="BC176" s="5">
        <v>4</v>
      </c>
      <c r="BD176" s="5">
        <v>1</v>
      </c>
      <c r="BE176" s="5">
        <v>1</v>
      </c>
      <c r="BF176" s="27" t="s">
        <v>375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  <c r="CL176" s="77" t="str">
        <f t="shared" si="4"/>
        <v>FigureFootnotefgfn</v>
      </c>
    </row>
    <row r="177" spans="1:90">
      <c r="A177" s="76" t="str">
        <f t="shared" si="5"/>
        <v>Figure Head (fgh)</v>
      </c>
      <c r="B177" s="5"/>
      <c r="C177" s="5" t="s">
        <v>665</v>
      </c>
      <c r="D177" s="5" t="s">
        <v>1123</v>
      </c>
      <c r="E177" s="5" t="s">
        <v>184</v>
      </c>
      <c r="F177" s="5">
        <v>1</v>
      </c>
      <c r="G177" s="5" t="b">
        <v>0</v>
      </c>
      <c r="H177" s="5">
        <v>1</v>
      </c>
      <c r="I177" s="5" t="s">
        <v>4</v>
      </c>
      <c r="J177" s="5">
        <v>14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0</v>
      </c>
      <c r="Z177" s="5" t="b">
        <v>0</v>
      </c>
      <c r="AA177" s="5">
        <v>0</v>
      </c>
      <c r="AB177" s="5">
        <v>0</v>
      </c>
      <c r="AC177" s="5">
        <v>12</v>
      </c>
      <c r="AD177" s="5">
        <v>10</v>
      </c>
      <c r="AE177" s="5">
        <v>5</v>
      </c>
      <c r="AF177" s="5">
        <v>13.8</v>
      </c>
      <c r="AG177" s="5">
        <v>0</v>
      </c>
      <c r="AH177" s="5">
        <v>0</v>
      </c>
      <c r="AI177" s="5">
        <v>4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0</v>
      </c>
      <c r="AQ177" s="6" t="s">
        <v>68</v>
      </c>
      <c r="AR177" s="5">
        <v>0</v>
      </c>
      <c r="AS177" s="5">
        <v>6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4</v>
      </c>
      <c r="BC177" s="5">
        <v>4</v>
      </c>
      <c r="BD177" s="5">
        <v>1</v>
      </c>
      <c r="BE177" s="5">
        <v>1</v>
      </c>
      <c r="BF177" s="27" t="s">
        <v>375</v>
      </c>
      <c r="BG177" s="6"/>
      <c r="BH177" s="5"/>
      <c r="BI177" s="5"/>
      <c r="BJ177" s="6"/>
      <c r="BK177" s="5" t="s">
        <v>1</v>
      </c>
      <c r="BL177" s="5">
        <v>0</v>
      </c>
      <c r="BM177" s="5" t="b">
        <v>0</v>
      </c>
      <c r="CL177" s="77" t="str">
        <f t="shared" si="4"/>
        <v>FigureHeadfgh</v>
      </c>
    </row>
    <row r="178" spans="1:90">
      <c r="A178" s="76" t="str">
        <f t="shared" si="5"/>
        <v>Figure Label (fgl)</v>
      </c>
      <c r="B178" s="5"/>
      <c r="C178" s="5" t="s">
        <v>666</v>
      </c>
      <c r="D178" s="5" t="s">
        <v>1124</v>
      </c>
      <c r="E178" s="5" t="s">
        <v>184</v>
      </c>
      <c r="F178" s="5">
        <v>1</v>
      </c>
      <c r="G178" s="5" t="b">
        <v>0</v>
      </c>
      <c r="H178" s="5">
        <v>1</v>
      </c>
      <c r="I178" s="5" t="s">
        <v>84</v>
      </c>
      <c r="J178" s="5">
        <v>11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0</v>
      </c>
      <c r="AB178" s="5">
        <v>0</v>
      </c>
      <c r="AC178" s="5">
        <v>0</v>
      </c>
      <c r="AD178" s="5">
        <v>10</v>
      </c>
      <c r="AE178" s="5">
        <v>5</v>
      </c>
      <c r="AF178" s="5">
        <v>13.8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0</v>
      </c>
      <c r="AQ178" s="6" t="s">
        <v>68</v>
      </c>
      <c r="AR178" s="5">
        <v>0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4</v>
      </c>
      <c r="BC178" s="5">
        <v>4</v>
      </c>
      <c r="BD178" s="5">
        <v>1</v>
      </c>
      <c r="BE178" s="5">
        <v>1</v>
      </c>
      <c r="BF178" s="27" t="s">
        <v>375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  <c r="CL178" s="77" t="str">
        <f t="shared" si="4"/>
        <v>FigureLabelfgl</v>
      </c>
    </row>
    <row r="179" spans="1:90">
      <c r="A179" s="76" t="str">
        <f t="shared" si="5"/>
        <v>Figure Level-1 Subhead (fgh1)</v>
      </c>
      <c r="B179" s="5"/>
      <c r="C179" s="5" t="s">
        <v>667</v>
      </c>
      <c r="D179" s="5" t="s">
        <v>1125</v>
      </c>
      <c r="E179" s="5" t="s">
        <v>184</v>
      </c>
      <c r="F179" s="5">
        <v>1</v>
      </c>
      <c r="G179" s="5" t="b">
        <v>0</v>
      </c>
      <c r="H179" s="5">
        <v>1</v>
      </c>
      <c r="I179" s="5" t="s">
        <v>4</v>
      </c>
      <c r="J179" s="5">
        <v>16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0</v>
      </c>
      <c r="AB179" s="5">
        <v>0</v>
      </c>
      <c r="AC179" s="5">
        <v>12</v>
      </c>
      <c r="AD179" s="5">
        <v>10</v>
      </c>
      <c r="AE179" s="5">
        <v>5</v>
      </c>
      <c r="AF179" s="5">
        <v>13.8</v>
      </c>
      <c r="AG179" s="5">
        <v>0</v>
      </c>
      <c r="AH179" s="5">
        <v>0</v>
      </c>
      <c r="AI179" s="5">
        <v>5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0</v>
      </c>
      <c r="AQ179" s="6" t="s">
        <v>68</v>
      </c>
      <c r="AR179" s="5">
        <v>0</v>
      </c>
      <c r="AS179" s="5">
        <v>6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4</v>
      </c>
      <c r="BC179" s="5">
        <v>4</v>
      </c>
      <c r="BD179" s="5">
        <v>1</v>
      </c>
      <c r="BE179" s="5">
        <v>1</v>
      </c>
      <c r="BF179" s="27" t="s">
        <v>375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  <c r="CL179" s="77" t="str">
        <f t="shared" si="4"/>
        <v>FigureLevel-1Subheadfgh1</v>
      </c>
    </row>
    <row r="180" spans="1:90">
      <c r="A180" s="76" t="str">
        <f t="shared" si="5"/>
        <v>Figure Level-2 Subhead (fgh2)</v>
      </c>
      <c r="B180" s="5"/>
      <c r="C180" s="5" t="s">
        <v>668</v>
      </c>
      <c r="D180" s="5" t="s">
        <v>1126</v>
      </c>
      <c r="E180" s="5" t="s">
        <v>184</v>
      </c>
      <c r="F180" s="5">
        <v>1</v>
      </c>
      <c r="G180" s="5" t="b">
        <v>0</v>
      </c>
      <c r="H180" s="5">
        <v>1</v>
      </c>
      <c r="I180" s="5" t="s">
        <v>2</v>
      </c>
      <c r="J180" s="5">
        <v>16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0</v>
      </c>
      <c r="AB180" s="5">
        <v>0</v>
      </c>
      <c r="AC180" s="5">
        <v>12</v>
      </c>
      <c r="AD180" s="5">
        <v>10</v>
      </c>
      <c r="AE180" s="5">
        <v>5</v>
      </c>
      <c r="AF180" s="5">
        <v>13.8</v>
      </c>
      <c r="AG180" s="5">
        <v>0</v>
      </c>
      <c r="AH180" s="5">
        <v>0</v>
      </c>
      <c r="AI180" s="5">
        <v>6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0</v>
      </c>
      <c r="AQ180" s="6" t="s">
        <v>68</v>
      </c>
      <c r="AR180" s="5">
        <v>0</v>
      </c>
      <c r="AS180" s="5">
        <v>6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4</v>
      </c>
      <c r="BC180" s="5">
        <v>4</v>
      </c>
      <c r="BD180" s="5">
        <v>1</v>
      </c>
      <c r="BE180" s="5">
        <v>1</v>
      </c>
      <c r="BF180" s="27" t="s">
        <v>375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  <c r="CL180" s="77" t="str">
        <f t="shared" si="4"/>
        <v>FigureLevel-2Subheadfgh2</v>
      </c>
    </row>
    <row r="181" spans="1:90">
      <c r="A181" s="76" t="str">
        <f t="shared" si="5"/>
        <v>Figure Level-3 Subhead (fgh3)</v>
      </c>
      <c r="B181" s="5"/>
      <c r="C181" s="5" t="s">
        <v>669</v>
      </c>
      <c r="D181" s="5" t="s">
        <v>1127</v>
      </c>
      <c r="E181" s="5" t="s">
        <v>184</v>
      </c>
      <c r="F181" s="5">
        <v>1</v>
      </c>
      <c r="G181" s="5" t="b">
        <v>0</v>
      </c>
      <c r="H181" s="5">
        <v>1</v>
      </c>
      <c r="I181" s="5" t="s">
        <v>84</v>
      </c>
      <c r="J181" s="5">
        <v>16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0</v>
      </c>
      <c r="AB181" s="5">
        <v>0</v>
      </c>
      <c r="AC181" s="5">
        <v>12</v>
      </c>
      <c r="AD181" s="5">
        <v>10</v>
      </c>
      <c r="AE181" s="5">
        <v>5</v>
      </c>
      <c r="AF181" s="5">
        <v>13.8</v>
      </c>
      <c r="AG181" s="5">
        <v>0</v>
      </c>
      <c r="AH181" s="5">
        <v>0</v>
      </c>
      <c r="AI181" s="5">
        <v>7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0</v>
      </c>
      <c r="AQ181" s="6" t="s">
        <v>68</v>
      </c>
      <c r="AR181" s="5">
        <v>0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4</v>
      </c>
      <c r="BC181" s="5">
        <v>4</v>
      </c>
      <c r="BD181" s="5">
        <v>1</v>
      </c>
      <c r="BE181" s="5">
        <v>1</v>
      </c>
      <c r="BF181" s="27" t="s">
        <v>375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  <c r="CL181" s="77" t="str">
        <f t="shared" si="4"/>
        <v>FigureLevel-3Subheadfgh3</v>
      </c>
    </row>
    <row r="182" spans="1:90">
      <c r="A182" s="76" t="str">
        <f t="shared" si="5"/>
        <v>Figure Level-4 Subhead (fgh4)</v>
      </c>
      <c r="B182" s="5"/>
      <c r="C182" s="5" t="s">
        <v>670</v>
      </c>
      <c r="D182" s="5" t="s">
        <v>1128</v>
      </c>
      <c r="E182" s="5" t="s">
        <v>184</v>
      </c>
      <c r="F182" s="5">
        <v>1</v>
      </c>
      <c r="G182" s="5" t="b">
        <v>0</v>
      </c>
      <c r="H182" s="5">
        <v>1</v>
      </c>
      <c r="I182" s="5" t="s">
        <v>4</v>
      </c>
      <c r="J182" s="5">
        <v>14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0</v>
      </c>
      <c r="AB182" s="5">
        <v>0</v>
      </c>
      <c r="AC182" s="5">
        <v>12</v>
      </c>
      <c r="AD182" s="5">
        <v>10</v>
      </c>
      <c r="AE182" s="5">
        <v>5</v>
      </c>
      <c r="AF182" s="5">
        <v>13.8</v>
      </c>
      <c r="AG182" s="5">
        <v>0</v>
      </c>
      <c r="AH182" s="5">
        <v>0</v>
      </c>
      <c r="AI182" s="5">
        <v>8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0</v>
      </c>
      <c r="AQ182" s="6" t="s">
        <v>68</v>
      </c>
      <c r="AR182" s="5">
        <v>0</v>
      </c>
      <c r="AS182" s="5">
        <v>6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4</v>
      </c>
      <c r="BC182" s="5">
        <v>4</v>
      </c>
      <c r="BD182" s="5">
        <v>1</v>
      </c>
      <c r="BE182" s="5">
        <v>1</v>
      </c>
      <c r="BF182" s="27" t="s">
        <v>375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  <c r="CL182" s="77" t="str">
        <f t="shared" si="4"/>
        <v>FigureLevel-4Subheadfgh4</v>
      </c>
    </row>
    <row r="183" spans="1:90">
      <c r="A183" s="76" t="str">
        <f t="shared" si="5"/>
        <v>Figure Level-5 Subhead (fgh5)</v>
      </c>
      <c r="B183" s="5"/>
      <c r="C183" s="5" t="s">
        <v>671</v>
      </c>
      <c r="D183" s="5" t="s">
        <v>1129</v>
      </c>
      <c r="E183" s="5" t="s">
        <v>184</v>
      </c>
      <c r="F183" s="5">
        <v>1</v>
      </c>
      <c r="G183" s="5" t="b">
        <v>0</v>
      </c>
      <c r="H183" s="5">
        <v>1</v>
      </c>
      <c r="I183" s="5" t="s">
        <v>2</v>
      </c>
      <c r="J183" s="5">
        <v>14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0</v>
      </c>
      <c r="AB183" s="5">
        <v>0</v>
      </c>
      <c r="AC183" s="5">
        <v>12</v>
      </c>
      <c r="AD183" s="5">
        <v>10</v>
      </c>
      <c r="AE183" s="5">
        <v>5</v>
      </c>
      <c r="AF183" s="5">
        <v>13.8</v>
      </c>
      <c r="AG183" s="5">
        <v>0</v>
      </c>
      <c r="AH183" s="5">
        <v>0</v>
      </c>
      <c r="AI183" s="5">
        <v>9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0</v>
      </c>
      <c r="AQ183" s="6" t="s">
        <v>68</v>
      </c>
      <c r="AR183" s="5">
        <v>0</v>
      </c>
      <c r="AS183" s="5">
        <v>6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4</v>
      </c>
      <c r="BC183" s="5">
        <v>4</v>
      </c>
      <c r="BD183" s="5">
        <v>1</v>
      </c>
      <c r="BE183" s="5">
        <v>1</v>
      </c>
      <c r="BF183" s="27" t="s">
        <v>375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  <c r="CL183" s="77" t="str">
        <f t="shared" si="4"/>
        <v>FigureLevel-5Subheadfgh5</v>
      </c>
    </row>
    <row r="184" spans="1:90">
      <c r="A184" s="76" t="str">
        <f t="shared" si="5"/>
        <v>Figure Number (fgn)</v>
      </c>
      <c r="B184" s="5"/>
      <c r="C184" s="5" t="s">
        <v>672</v>
      </c>
      <c r="D184" s="5" t="s">
        <v>1130</v>
      </c>
      <c r="E184" s="5" t="s">
        <v>184</v>
      </c>
      <c r="F184" s="5">
        <v>1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0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0</v>
      </c>
      <c r="AQ184" s="6" t="s">
        <v>68</v>
      </c>
      <c r="AR184" s="5">
        <v>0</v>
      </c>
      <c r="AS184" s="5">
        <v>6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4</v>
      </c>
      <c r="BC184" s="5">
        <v>4</v>
      </c>
      <c r="BD184" s="5">
        <v>1</v>
      </c>
      <c r="BE184" s="5">
        <v>1</v>
      </c>
      <c r="BF184" s="27" t="s">
        <v>375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  <c r="CL184" s="77" t="str">
        <f t="shared" si="4"/>
        <v>FigureNumberfgn</v>
      </c>
    </row>
    <row r="185" spans="1:90">
      <c r="A185" s="76" t="str">
        <f t="shared" si="5"/>
        <v>Figure Source Note (fgsn)</v>
      </c>
      <c r="B185" s="5"/>
      <c r="C185" s="5" t="s">
        <v>673</v>
      </c>
      <c r="D185" s="5" t="s">
        <v>1131</v>
      </c>
      <c r="E185" s="5" t="s">
        <v>184</v>
      </c>
      <c r="F185" s="5">
        <v>1</v>
      </c>
      <c r="G185" s="5" t="b">
        <v>0</v>
      </c>
      <c r="H185" s="5">
        <v>1</v>
      </c>
      <c r="I185" s="5" t="s">
        <v>2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0</v>
      </c>
      <c r="AB185" s="5">
        <v>0</v>
      </c>
      <c r="AC185" s="5">
        <v>0</v>
      </c>
      <c r="AD185" s="5">
        <v>10</v>
      </c>
      <c r="AE185" s="5">
        <v>5</v>
      </c>
      <c r="AF185" s="5">
        <v>13.8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0</v>
      </c>
      <c r="AQ185" s="6" t="s">
        <v>68</v>
      </c>
      <c r="AR185" s="5">
        <v>0</v>
      </c>
      <c r="AS185" s="5">
        <v>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4</v>
      </c>
      <c r="BC185" s="5">
        <v>4</v>
      </c>
      <c r="BD185" s="5">
        <v>1</v>
      </c>
      <c r="BE185" s="5">
        <v>1</v>
      </c>
      <c r="BF185" s="27" t="s">
        <v>375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  <c r="CL185" s="77" t="str">
        <f t="shared" si="4"/>
        <v>FigureSourceNotefgsn</v>
      </c>
    </row>
    <row r="186" spans="1:90">
      <c r="A186" s="76" t="str">
        <f t="shared" si="5"/>
        <v>Figure Subhead (fgsh)</v>
      </c>
      <c r="B186" s="5"/>
      <c r="C186" s="5" t="s">
        <v>674</v>
      </c>
      <c r="D186" s="5" t="s">
        <v>1132</v>
      </c>
      <c r="E186" s="5" t="s">
        <v>184</v>
      </c>
      <c r="F186" s="5">
        <v>1</v>
      </c>
      <c r="G186" s="5" t="b">
        <v>0</v>
      </c>
      <c r="H186" s="5">
        <v>1</v>
      </c>
      <c r="I186" s="5" t="s">
        <v>74</v>
      </c>
      <c r="J186" s="5">
        <v>18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2</v>
      </c>
      <c r="AF186" s="5">
        <v>24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0</v>
      </c>
      <c r="AQ186" s="6" t="s">
        <v>68</v>
      </c>
      <c r="AR186" s="5">
        <v>0</v>
      </c>
      <c r="AS186" s="5">
        <v>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4</v>
      </c>
      <c r="BC186" s="5">
        <v>4</v>
      </c>
      <c r="BD186" s="5">
        <v>1</v>
      </c>
      <c r="BE186" s="5">
        <v>1</v>
      </c>
      <c r="BF186" s="27" t="s">
        <v>375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  <c r="CL186" s="77" t="str">
        <f t="shared" si="4"/>
        <v>FigureSubheadfgsh</v>
      </c>
    </row>
    <row r="187" spans="1:90">
      <c r="A187" s="76" t="str">
        <f t="shared" si="5"/>
        <v>FM Author Name (fmau)</v>
      </c>
      <c r="B187" s="5"/>
      <c r="C187" s="5" t="s">
        <v>675</v>
      </c>
      <c r="D187" s="5" t="s">
        <v>1133</v>
      </c>
      <c r="E187" s="5" t="s">
        <v>188</v>
      </c>
      <c r="F187" s="5">
        <v>1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2</v>
      </c>
      <c r="AF187" s="5">
        <v>24</v>
      </c>
      <c r="AG187" s="5">
        <v>1</v>
      </c>
      <c r="AH187" s="5">
        <v>0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8" t="s">
        <v>361</v>
      </c>
      <c r="AR187" s="5">
        <v>19</v>
      </c>
      <c r="AS187" s="5">
        <v>6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4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  <c r="CL187" s="77" t="str">
        <f t="shared" si="4"/>
        <v>FMAuthorNamefmau</v>
      </c>
    </row>
    <row r="188" spans="1:90">
      <c r="A188" s="76" t="str">
        <f t="shared" si="5"/>
        <v>FM Author Signature (ausig)</v>
      </c>
      <c r="B188" s="5"/>
      <c r="C188" s="5" t="s">
        <v>676</v>
      </c>
      <c r="D188" s="5" t="s">
        <v>1134</v>
      </c>
      <c r="E188" s="5" t="s">
        <v>188</v>
      </c>
      <c r="F188" s="5">
        <v>1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2</v>
      </c>
      <c r="AF188" s="5">
        <v>24</v>
      </c>
      <c r="AG188" s="5">
        <v>2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8" t="s">
        <v>361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4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  <c r="CL188" s="77" t="str">
        <f t="shared" si="4"/>
        <v>FMAuthorSignatureausig</v>
      </c>
    </row>
    <row r="189" spans="1:90">
      <c r="A189" s="76" t="str">
        <f t="shared" si="5"/>
        <v>FM Dramatis Personae (fmdp)</v>
      </c>
      <c r="B189" s="5"/>
      <c r="C189" s="5" t="s">
        <v>677</v>
      </c>
      <c r="D189" s="5" t="s">
        <v>1135</v>
      </c>
      <c r="E189" s="5" t="s">
        <v>185</v>
      </c>
      <c r="F189" s="5">
        <v>1</v>
      </c>
      <c r="G189" s="5" t="b">
        <v>0</v>
      </c>
      <c r="H189" s="5">
        <v>1</v>
      </c>
      <c r="I189" s="5" t="s">
        <v>144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0</v>
      </c>
      <c r="AB189" s="5">
        <v>0</v>
      </c>
      <c r="AC189" s="5">
        <v>0</v>
      </c>
      <c r="AD189" s="5">
        <v>10</v>
      </c>
      <c r="AE189" s="5">
        <v>2</v>
      </c>
      <c r="AF189" s="5">
        <v>24</v>
      </c>
      <c r="AG189" s="5">
        <v>0</v>
      </c>
      <c r="AH189" s="5">
        <v>0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8" t="s">
        <v>361</v>
      </c>
      <c r="AR189" s="5">
        <v>1</v>
      </c>
      <c r="AS189" s="5">
        <v>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4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  <c r="CL189" s="77" t="str">
        <f t="shared" si="4"/>
        <v>FMDramatisPersonaefmdp</v>
      </c>
    </row>
    <row r="190" spans="1:90">
      <c r="A190" s="76" t="str">
        <f t="shared" si="5"/>
        <v>FM Epigraph - non-verse (fmepi)</v>
      </c>
      <c r="B190" s="5"/>
      <c r="C190" s="5" t="s">
        <v>678</v>
      </c>
      <c r="D190" s="5" t="s">
        <v>1136</v>
      </c>
      <c r="E190" s="5" t="s">
        <v>186</v>
      </c>
      <c r="F190" s="5">
        <v>1</v>
      </c>
      <c r="G190" s="5" t="b">
        <v>0</v>
      </c>
      <c r="H190" s="5">
        <v>1</v>
      </c>
      <c r="I190" s="5" t="s">
        <v>2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12</v>
      </c>
      <c r="AD190" s="5">
        <v>12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8" t="s">
        <v>361</v>
      </c>
      <c r="AR190" s="5">
        <v>1</v>
      </c>
      <c r="AS190" s="5">
        <v>18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  <c r="BP190" s="8" t="s">
        <v>1471</v>
      </c>
      <c r="BQ190" s="8" t="s">
        <v>1476</v>
      </c>
      <c r="BV190" s="8" t="b">
        <v>1</v>
      </c>
      <c r="CL190" s="77" t="str">
        <f t="shared" si="4"/>
        <v>FMEpigraph-non-versefmepi</v>
      </c>
    </row>
    <row r="191" spans="1:90">
      <c r="A191" s="76" t="str">
        <f t="shared" si="5"/>
        <v>FM Epigraph - verse (fmepiv)</v>
      </c>
      <c r="B191" s="5"/>
      <c r="C191" s="5" t="s">
        <v>679</v>
      </c>
      <c r="D191" s="5" t="s">
        <v>1137</v>
      </c>
      <c r="E191" s="5" t="s">
        <v>187</v>
      </c>
      <c r="F191" s="5">
        <v>1</v>
      </c>
      <c r="G191" s="5" t="b">
        <v>0</v>
      </c>
      <c r="H191" s="5">
        <v>1</v>
      </c>
      <c r="I191" s="5" t="s">
        <v>2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1</v>
      </c>
      <c r="Y191" s="5" t="b">
        <v>0</v>
      </c>
      <c r="Z191" s="5" t="b">
        <v>0</v>
      </c>
      <c r="AA191" s="5">
        <v>45.35</v>
      </c>
      <c r="AB191" s="5">
        <v>27.35</v>
      </c>
      <c r="AC191" s="5">
        <v>12</v>
      </c>
      <c r="AD191" s="5">
        <v>12</v>
      </c>
      <c r="AE191" s="5">
        <v>2</v>
      </c>
      <c r="AF191" s="5">
        <v>24</v>
      </c>
      <c r="AG191" s="5">
        <v>0</v>
      </c>
      <c r="AH191" s="5">
        <v>-18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8" t="s">
        <v>361</v>
      </c>
      <c r="AR191" s="5">
        <v>7</v>
      </c>
      <c r="AS191" s="5">
        <v>6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  <c r="BP191" s="8" t="s">
        <v>1471</v>
      </c>
      <c r="BQ191" s="8" t="s">
        <v>1476</v>
      </c>
      <c r="BV191" s="8" t="b">
        <v>1</v>
      </c>
      <c r="CL191" s="77" t="str">
        <f t="shared" si="4"/>
        <v>FMEpigraph-versefmepiv</v>
      </c>
    </row>
    <row r="192" spans="1:90">
      <c r="A192" s="76" t="str">
        <f t="shared" si="5"/>
        <v>FM Epigraph Source (fmeps)</v>
      </c>
      <c r="B192" s="5"/>
      <c r="C192" s="5" t="s">
        <v>680</v>
      </c>
      <c r="D192" s="5" t="s">
        <v>1138</v>
      </c>
      <c r="E192" s="5" t="s">
        <v>188</v>
      </c>
      <c r="F192" s="5">
        <v>1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36</v>
      </c>
      <c r="AB192" s="5">
        <v>0</v>
      </c>
      <c r="AC192" s="5">
        <v>6</v>
      </c>
      <c r="AD192" s="5">
        <v>0</v>
      </c>
      <c r="AE192" s="5">
        <v>2</v>
      </c>
      <c r="AF192" s="5">
        <v>24</v>
      </c>
      <c r="AG192" s="5">
        <v>2</v>
      </c>
      <c r="AH192" s="5">
        <v>0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8" t="s">
        <v>361</v>
      </c>
      <c r="AR192" s="5">
        <v>2</v>
      </c>
      <c r="AS192" s="5">
        <v>36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  <c r="BP192" s="8" t="s">
        <v>1471</v>
      </c>
      <c r="BQ192" s="8" t="s">
        <v>1476</v>
      </c>
      <c r="BV192" s="8" t="b">
        <v>1</v>
      </c>
      <c r="CL192" s="77" t="str">
        <f t="shared" si="4"/>
        <v>FMEpigraphSourcefmeps</v>
      </c>
    </row>
    <row r="193" spans="1:90">
      <c r="A193" s="76" t="str">
        <f t="shared" si="5"/>
        <v>FM Head (fmh)</v>
      </c>
      <c r="B193" s="5"/>
      <c r="C193" s="5" t="s">
        <v>681</v>
      </c>
      <c r="D193" s="5" t="s">
        <v>1139</v>
      </c>
      <c r="E193" s="5" t="s">
        <v>188</v>
      </c>
      <c r="F193" s="5">
        <v>1</v>
      </c>
      <c r="G193" s="5" t="b">
        <v>1</v>
      </c>
      <c r="H193" s="5">
        <v>1</v>
      </c>
      <c r="I193" s="5" t="s">
        <v>2</v>
      </c>
      <c r="J193" s="5">
        <v>24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0</v>
      </c>
      <c r="AB193" s="5">
        <v>0</v>
      </c>
      <c r="AC193" s="5">
        <v>36</v>
      </c>
      <c r="AD193" s="5">
        <v>10</v>
      </c>
      <c r="AE193" s="5">
        <v>2</v>
      </c>
      <c r="AF193" s="5">
        <v>24</v>
      </c>
      <c r="AG193" s="5">
        <v>1</v>
      </c>
      <c r="AH193" s="5">
        <v>0</v>
      </c>
      <c r="AI193" s="5">
        <v>3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8" t="s">
        <v>361</v>
      </c>
      <c r="AR193" s="5">
        <v>2</v>
      </c>
      <c r="AS193" s="5">
        <v>48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4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  <c r="BN193" s="8" t="s">
        <v>1171</v>
      </c>
      <c r="BT193" s="8" t="b">
        <v>1</v>
      </c>
      <c r="CL193" s="77" t="str">
        <f t="shared" si="4"/>
        <v>FMHeadfmh</v>
      </c>
    </row>
    <row r="194" spans="1:90">
      <c r="A194" s="76" t="str">
        <f t="shared" si="5"/>
        <v>FM Head ALT (afmh)</v>
      </c>
      <c r="B194" s="5"/>
      <c r="C194" s="5" t="s">
        <v>682</v>
      </c>
      <c r="D194" s="5" t="s">
        <v>1140</v>
      </c>
      <c r="E194" s="5" t="s">
        <v>189</v>
      </c>
      <c r="F194" s="5">
        <v>1</v>
      </c>
      <c r="G194" s="5" t="b">
        <v>0</v>
      </c>
      <c r="H194" s="5">
        <v>1</v>
      </c>
      <c r="I194" s="5" t="s">
        <v>84</v>
      </c>
      <c r="J194" s="5">
        <v>24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0</v>
      </c>
      <c r="AB194" s="5">
        <v>0</v>
      </c>
      <c r="AC194" s="5">
        <v>18</v>
      </c>
      <c r="AD194" s="5">
        <v>10</v>
      </c>
      <c r="AE194" s="5">
        <v>2</v>
      </c>
      <c r="AF194" s="5">
        <v>24</v>
      </c>
      <c r="AG194" s="5">
        <v>1</v>
      </c>
      <c r="AH194" s="5">
        <v>0</v>
      </c>
      <c r="AI194" s="5">
        <v>3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8" t="s">
        <v>361</v>
      </c>
      <c r="AR194" s="5">
        <v>2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4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  <c r="BN194" s="8" t="s">
        <v>1171</v>
      </c>
      <c r="BT194" s="8" t="b">
        <v>1</v>
      </c>
      <c r="CL194" s="77" t="str">
        <f t="shared" si="4"/>
        <v>FMHeadALTafmh</v>
      </c>
    </row>
    <row r="195" spans="1:90">
      <c r="A195" s="76" t="str">
        <f t="shared" si="5"/>
        <v>FM Head Nonprinting (fmhnp)</v>
      </c>
      <c r="B195" s="5"/>
      <c r="C195" s="5" t="s">
        <v>683</v>
      </c>
      <c r="D195" s="5" t="s">
        <v>1141</v>
      </c>
      <c r="E195" s="5" t="s">
        <v>188</v>
      </c>
      <c r="F195" s="5">
        <v>1</v>
      </c>
      <c r="G195" s="5" t="b">
        <v>0</v>
      </c>
      <c r="H195" s="5">
        <v>1</v>
      </c>
      <c r="I195" s="5" t="s">
        <v>2</v>
      </c>
      <c r="J195" s="5">
        <v>24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0</v>
      </c>
      <c r="AB195" s="5">
        <v>0</v>
      </c>
      <c r="AC195" s="5">
        <v>36</v>
      </c>
      <c r="AD195" s="5">
        <v>10</v>
      </c>
      <c r="AE195" s="5">
        <v>2</v>
      </c>
      <c r="AF195" s="5">
        <v>24</v>
      </c>
      <c r="AG195" s="5">
        <v>1</v>
      </c>
      <c r="AH195" s="5">
        <v>0</v>
      </c>
      <c r="AI195" s="5">
        <v>3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8" t="s">
        <v>361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4</v>
      </c>
      <c r="BC195" s="5">
        <v>4</v>
      </c>
      <c r="BD195" s="5">
        <v>1</v>
      </c>
      <c r="BE195" s="5">
        <v>1</v>
      </c>
      <c r="BF195" s="15" t="s">
        <v>372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  <c r="BN195" s="8" t="s">
        <v>1171</v>
      </c>
      <c r="BT195" s="8" t="b">
        <v>1</v>
      </c>
      <c r="CL195" s="77" t="str">
        <f t="shared" si="4"/>
        <v>FMHeadNonprintingfmhnp</v>
      </c>
    </row>
    <row r="196" spans="1:90">
      <c r="A196" s="76" t="str">
        <f t="shared" si="5"/>
        <v>FM Level-1 Subhead (fmh1)</v>
      </c>
      <c r="B196" s="5"/>
      <c r="C196" s="5" t="s">
        <v>684</v>
      </c>
      <c r="D196" s="5" t="s">
        <v>1142</v>
      </c>
      <c r="E196" s="5" t="s">
        <v>188</v>
      </c>
      <c r="F196" s="5">
        <v>1</v>
      </c>
      <c r="G196" s="5" t="b">
        <v>0</v>
      </c>
      <c r="H196" s="5">
        <v>1</v>
      </c>
      <c r="I196" s="5" t="s">
        <v>4</v>
      </c>
      <c r="J196" s="5">
        <v>16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0</v>
      </c>
      <c r="AB196" s="5">
        <v>0</v>
      </c>
      <c r="AC196" s="5">
        <v>18</v>
      </c>
      <c r="AD196" s="5">
        <v>0</v>
      </c>
      <c r="AE196" s="5">
        <v>2</v>
      </c>
      <c r="AF196" s="5">
        <v>24</v>
      </c>
      <c r="AG196" s="5">
        <v>0</v>
      </c>
      <c r="AH196" s="5">
        <v>0</v>
      </c>
      <c r="AI196" s="5">
        <v>5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8" t="s">
        <v>361</v>
      </c>
      <c r="AR196" s="5">
        <v>8</v>
      </c>
      <c r="AS196" s="5">
        <v>12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4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  <c r="CL196" s="77" t="str">
        <f t="shared" ref="CL196:CL259" si="6">SUBSTITUTE(SUBSTITUTE(SUBSTITUTE(SUBSTITUTE(A196, "(",""),")","")," ",""),"#","")</f>
        <v>FMLevel-1Subheadfmh1</v>
      </c>
    </row>
    <row r="197" spans="1:90">
      <c r="A197" s="76" t="str">
        <f t="shared" ref="A197:A260" si="7">IF($D197="","",TRIM($C197)&amp;" "&amp;CHAR(40)&amp;TRIM($D197)&amp;CHAR(41))</f>
        <v>FM Level-2 Subhead (fmh2)</v>
      </c>
      <c r="B197" s="5"/>
      <c r="C197" s="5" t="s">
        <v>685</v>
      </c>
      <c r="D197" s="5" t="s">
        <v>1143</v>
      </c>
      <c r="E197" s="5" t="s">
        <v>188</v>
      </c>
      <c r="F197" s="5">
        <v>1</v>
      </c>
      <c r="G197" s="5" t="b">
        <v>0</v>
      </c>
      <c r="H197" s="5">
        <v>1</v>
      </c>
      <c r="I197" s="5" t="s">
        <v>2</v>
      </c>
      <c r="J197" s="5">
        <v>16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0</v>
      </c>
      <c r="AB197" s="5">
        <v>0</v>
      </c>
      <c r="AC197" s="5">
        <v>18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6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8" t="s">
        <v>361</v>
      </c>
      <c r="AR197" s="5">
        <v>15</v>
      </c>
      <c r="AS197" s="5">
        <v>36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4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  <c r="CL197" s="77" t="str">
        <f t="shared" si="6"/>
        <v>FMLevel-2Subheadfmh2</v>
      </c>
    </row>
    <row r="198" spans="1:90">
      <c r="A198" s="76" t="str">
        <f t="shared" si="7"/>
        <v>FM Level-3 Subhead (fmh3)</v>
      </c>
      <c r="B198" s="5"/>
      <c r="C198" s="5" t="s">
        <v>686</v>
      </c>
      <c r="D198" s="5" t="s">
        <v>1144</v>
      </c>
      <c r="E198" s="5" t="s">
        <v>188</v>
      </c>
      <c r="F198" s="5">
        <v>1</v>
      </c>
      <c r="G198" s="5" t="b">
        <v>0</v>
      </c>
      <c r="H198" s="5">
        <v>1</v>
      </c>
      <c r="I198" s="5" t="s">
        <v>84</v>
      </c>
      <c r="J198" s="5">
        <v>16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18</v>
      </c>
      <c r="AD198" s="5">
        <v>0</v>
      </c>
      <c r="AE198" s="5">
        <v>2</v>
      </c>
      <c r="AF198" s="5">
        <v>24</v>
      </c>
      <c r="AG198" s="5">
        <v>0</v>
      </c>
      <c r="AH198" s="5">
        <v>0</v>
      </c>
      <c r="AI198" s="5">
        <v>7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1</v>
      </c>
      <c r="AQ198" s="38" t="s">
        <v>361</v>
      </c>
      <c r="AR198" s="5">
        <v>16</v>
      </c>
      <c r="AS198" s="5">
        <v>36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6" t="s">
        <v>68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  <c r="CL198" s="77" t="str">
        <f t="shared" si="6"/>
        <v>FMLevel-3Subheadfmh3</v>
      </c>
    </row>
    <row r="199" spans="1:90">
      <c r="A199" s="76" t="str">
        <f t="shared" si="7"/>
        <v>FM Level-4 Subhead (fmh4)</v>
      </c>
      <c r="B199" s="5"/>
      <c r="C199" s="5" t="s">
        <v>687</v>
      </c>
      <c r="D199" s="5" t="s">
        <v>1145</v>
      </c>
      <c r="E199" s="5" t="s">
        <v>188</v>
      </c>
      <c r="F199" s="5">
        <v>1</v>
      </c>
      <c r="G199" s="5" t="b">
        <v>0</v>
      </c>
      <c r="H199" s="5">
        <v>1</v>
      </c>
      <c r="I199" s="5" t="s">
        <v>4</v>
      </c>
      <c r="J199" s="5">
        <v>14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18</v>
      </c>
      <c r="AD199" s="5">
        <v>0</v>
      </c>
      <c r="AE199" s="5">
        <v>2</v>
      </c>
      <c r="AF199" s="5">
        <v>24</v>
      </c>
      <c r="AG199" s="5">
        <v>0</v>
      </c>
      <c r="AH199" s="5">
        <v>0</v>
      </c>
      <c r="AI199" s="5">
        <v>8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1</v>
      </c>
      <c r="AQ199" s="39" t="s">
        <v>371</v>
      </c>
      <c r="AR199" s="5">
        <v>1</v>
      </c>
      <c r="AS199" s="5">
        <v>8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6" t="s">
        <v>68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  <c r="CL199" s="77" t="str">
        <f t="shared" si="6"/>
        <v>FMLevel-4Subheadfmh4</v>
      </c>
    </row>
    <row r="200" spans="1:90">
      <c r="A200" s="76" t="str">
        <f t="shared" si="7"/>
        <v>FM Level-5 Subhead (fmh5)</v>
      </c>
      <c r="B200" s="5"/>
      <c r="C200" s="5" t="s">
        <v>688</v>
      </c>
      <c r="D200" s="5" t="s">
        <v>1146</v>
      </c>
      <c r="E200" s="5" t="s">
        <v>188</v>
      </c>
      <c r="F200" s="5">
        <v>1</v>
      </c>
      <c r="G200" s="5" t="b">
        <v>0</v>
      </c>
      <c r="H200" s="5">
        <v>1</v>
      </c>
      <c r="I200" s="5" t="s">
        <v>2</v>
      </c>
      <c r="J200" s="5">
        <v>14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18</v>
      </c>
      <c r="AD200" s="5">
        <v>0</v>
      </c>
      <c r="AE200" s="5">
        <v>2</v>
      </c>
      <c r="AF200" s="5">
        <v>24</v>
      </c>
      <c r="AG200" s="5">
        <v>0</v>
      </c>
      <c r="AH200" s="5">
        <v>0</v>
      </c>
      <c r="AI200" s="5">
        <v>9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1</v>
      </c>
      <c r="AQ200" s="38" t="s">
        <v>361</v>
      </c>
      <c r="AR200" s="5">
        <v>4</v>
      </c>
      <c r="AS200" s="5">
        <v>4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6" t="s">
        <v>68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  <c r="CL200" s="77" t="str">
        <f t="shared" si="6"/>
        <v>FMLevel-5Subheadfmh5</v>
      </c>
    </row>
    <row r="201" spans="1:90">
      <c r="A201" s="76" t="str">
        <f t="shared" si="7"/>
        <v>FM Subhead (fmsh)</v>
      </c>
      <c r="B201" s="5"/>
      <c r="C201" s="5" t="s">
        <v>689</v>
      </c>
      <c r="D201" s="5" t="s">
        <v>1147</v>
      </c>
      <c r="E201" s="5" t="s">
        <v>188</v>
      </c>
      <c r="F201" s="5">
        <v>1</v>
      </c>
      <c r="G201" s="5" t="b">
        <v>0</v>
      </c>
      <c r="H201" s="5">
        <v>1</v>
      </c>
      <c r="I201" s="5" t="s">
        <v>74</v>
      </c>
      <c r="J201" s="5">
        <v>18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10</v>
      </c>
      <c r="AE201" s="5">
        <v>2</v>
      </c>
      <c r="AF201" s="5">
        <v>24</v>
      </c>
      <c r="AG201" s="5">
        <v>1</v>
      </c>
      <c r="AH201" s="5">
        <v>0</v>
      </c>
      <c r="AI201" s="5">
        <v>4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1</v>
      </c>
      <c r="AQ201" s="38" t="s">
        <v>361</v>
      </c>
      <c r="AR201" s="5">
        <v>18</v>
      </c>
      <c r="AS201" s="5">
        <v>12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6" t="s">
        <v>68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  <c r="CL201" s="77" t="str">
        <f t="shared" si="6"/>
        <v>FMSubheadfmsh</v>
      </c>
    </row>
    <row r="202" spans="1:90">
      <c r="A202" s="76" t="str">
        <f t="shared" si="7"/>
        <v>FM Text (fmtx)</v>
      </c>
      <c r="B202" s="5"/>
      <c r="C202" s="5" t="s">
        <v>690</v>
      </c>
      <c r="D202" s="5" t="s">
        <v>1148</v>
      </c>
      <c r="E202" s="5" t="s">
        <v>190</v>
      </c>
      <c r="F202" s="5">
        <v>1</v>
      </c>
      <c r="G202" s="5" t="b">
        <v>0</v>
      </c>
      <c r="H202" s="5">
        <v>1</v>
      </c>
      <c r="I202" s="5" t="s">
        <v>74</v>
      </c>
      <c r="J202" s="5">
        <v>12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2</v>
      </c>
      <c r="AF202" s="5">
        <v>24</v>
      </c>
      <c r="AG202" s="5">
        <v>0</v>
      </c>
      <c r="AH202" s="5">
        <v>36</v>
      </c>
      <c r="AI202" s="5">
        <v>10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1</v>
      </c>
      <c r="AQ202" s="38" t="s">
        <v>361</v>
      </c>
      <c r="AR202" s="5">
        <v>1</v>
      </c>
      <c r="AS202" s="5">
        <v>48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6" t="s">
        <v>68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  <c r="CL202" s="77" t="str">
        <f t="shared" si="6"/>
        <v>FMTextfmtx</v>
      </c>
    </row>
    <row r="203" spans="1:90">
      <c r="A203" s="76" t="str">
        <f t="shared" si="7"/>
        <v>FM Text ALT (afmtx)</v>
      </c>
      <c r="B203" s="5"/>
      <c r="C203" s="5" t="s">
        <v>691</v>
      </c>
      <c r="D203" s="5" t="s">
        <v>1149</v>
      </c>
      <c r="E203" s="5" t="s">
        <v>191</v>
      </c>
      <c r="F203" s="5">
        <v>1</v>
      </c>
      <c r="G203" s="5" t="b">
        <v>0</v>
      </c>
      <c r="H203" s="5">
        <v>1</v>
      </c>
      <c r="I203" s="5" t="s">
        <v>2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2</v>
      </c>
      <c r="AF203" s="5">
        <v>24</v>
      </c>
      <c r="AG203" s="5">
        <v>0</v>
      </c>
      <c r="AH203" s="5">
        <v>36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1</v>
      </c>
      <c r="AQ203" s="38" t="s">
        <v>361</v>
      </c>
      <c r="AR203" s="5">
        <v>1</v>
      </c>
      <c r="AS203" s="5">
        <v>48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6" t="s">
        <v>68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  <c r="CL203" s="77" t="str">
        <f t="shared" si="6"/>
        <v>FMTextALTafmtx</v>
      </c>
    </row>
    <row r="204" spans="1:90">
      <c r="A204" s="76" t="str">
        <f t="shared" si="7"/>
        <v>FM Text No-Indent (fmtx1)</v>
      </c>
      <c r="B204" s="5"/>
      <c r="C204" s="5" t="s">
        <v>692</v>
      </c>
      <c r="D204" s="5" t="s">
        <v>1150</v>
      </c>
      <c r="E204" s="5" t="s">
        <v>190</v>
      </c>
      <c r="F204" s="5">
        <v>1</v>
      </c>
      <c r="G204" s="5" t="b">
        <v>0</v>
      </c>
      <c r="H204" s="5">
        <v>1</v>
      </c>
      <c r="I204" s="5" t="s">
        <v>74</v>
      </c>
      <c r="J204" s="5">
        <v>12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6</v>
      </c>
      <c r="AD204" s="5">
        <v>0</v>
      </c>
      <c r="AE204" s="5">
        <v>2</v>
      </c>
      <c r="AF204" s="5">
        <v>24</v>
      </c>
      <c r="AG204" s="5">
        <v>0</v>
      </c>
      <c r="AH204" s="5">
        <v>0</v>
      </c>
      <c r="AI204" s="5">
        <v>10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1</v>
      </c>
      <c r="AQ204" s="38" t="s">
        <v>361</v>
      </c>
      <c r="AR204" s="5">
        <v>7</v>
      </c>
      <c r="AS204" s="5">
        <v>18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6" t="s">
        <v>68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  <c r="CL204" s="77" t="str">
        <f t="shared" si="6"/>
        <v>FMTextNo-Indentfmtx1</v>
      </c>
    </row>
    <row r="205" spans="1:90">
      <c r="A205" s="76" t="str">
        <f t="shared" si="7"/>
        <v>FM Text No-Indent ALT (afmtx1)</v>
      </c>
      <c r="B205" s="5"/>
      <c r="C205" s="5" t="s">
        <v>693</v>
      </c>
      <c r="D205" s="5" t="s">
        <v>1151</v>
      </c>
      <c r="E205" s="5" t="s">
        <v>191</v>
      </c>
      <c r="F205" s="5">
        <v>1</v>
      </c>
      <c r="G205" s="5" t="b">
        <v>0</v>
      </c>
      <c r="H205" s="5">
        <v>1</v>
      </c>
      <c r="I205" s="5" t="s">
        <v>2</v>
      </c>
      <c r="J205" s="5">
        <v>11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6</v>
      </c>
      <c r="AD205" s="5">
        <v>0</v>
      </c>
      <c r="AE205" s="5">
        <v>2</v>
      </c>
      <c r="AF205" s="5">
        <v>24</v>
      </c>
      <c r="AG205" s="5">
        <v>0</v>
      </c>
      <c r="AH205" s="5">
        <v>0</v>
      </c>
      <c r="AI205" s="5">
        <v>10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1</v>
      </c>
      <c r="AQ205" s="38" t="s">
        <v>361</v>
      </c>
      <c r="AR205" s="5">
        <v>1</v>
      </c>
      <c r="AS205" s="5">
        <v>48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6" t="s">
        <v>68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  <c r="CL205" s="77" t="str">
        <f t="shared" si="6"/>
        <v>FMTextNo-IndentALTafmtx1</v>
      </c>
    </row>
    <row r="206" spans="1:90">
      <c r="A206" s="76" t="str">
        <f t="shared" si="7"/>
        <v>FM Text No-Indent Space After (fmtx1#)</v>
      </c>
      <c r="B206" s="5"/>
      <c r="C206" s="5" t="s">
        <v>694</v>
      </c>
      <c r="D206" s="5" t="s">
        <v>1152</v>
      </c>
      <c r="E206" s="5" t="s">
        <v>190</v>
      </c>
      <c r="F206" s="5">
        <v>1</v>
      </c>
      <c r="G206" s="5" t="b">
        <v>0</v>
      </c>
      <c r="H206" s="5">
        <v>1</v>
      </c>
      <c r="I206" s="5" t="s">
        <v>74</v>
      </c>
      <c r="J206" s="5">
        <v>12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0</v>
      </c>
      <c r="AD206" s="5">
        <v>18</v>
      </c>
      <c r="AE206" s="5">
        <v>2</v>
      </c>
      <c r="AF206" s="5">
        <v>24</v>
      </c>
      <c r="AG206" s="5">
        <v>0</v>
      </c>
      <c r="AH206" s="5">
        <v>0</v>
      </c>
      <c r="AI206" s="5">
        <v>10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1</v>
      </c>
      <c r="AQ206" s="38" t="s">
        <v>361</v>
      </c>
      <c r="AR206" s="5">
        <v>1</v>
      </c>
      <c r="AS206" s="5">
        <v>8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6" t="s">
        <v>68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  <c r="CL206" s="77" t="str">
        <f t="shared" si="6"/>
        <v>FMTextNo-IndentSpaceAfterfmtx1</v>
      </c>
    </row>
    <row r="207" spans="1:90">
      <c r="A207" s="76" t="str">
        <f t="shared" si="7"/>
        <v>FM Text No-Indent Space Around (#fmtx1#)</v>
      </c>
      <c r="B207" s="5"/>
      <c r="C207" s="5" t="s">
        <v>695</v>
      </c>
      <c r="D207" s="5" t="s">
        <v>1153</v>
      </c>
      <c r="E207" s="5" t="s">
        <v>190</v>
      </c>
      <c r="F207" s="5">
        <v>1</v>
      </c>
      <c r="G207" s="5" t="b">
        <v>0</v>
      </c>
      <c r="H207" s="5">
        <v>1</v>
      </c>
      <c r="I207" s="5" t="s">
        <v>74</v>
      </c>
      <c r="J207" s="5">
        <v>12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18</v>
      </c>
      <c r="AD207" s="5">
        <v>18</v>
      </c>
      <c r="AE207" s="5">
        <v>2</v>
      </c>
      <c r="AF207" s="5">
        <v>24</v>
      </c>
      <c r="AG207" s="5">
        <v>0</v>
      </c>
      <c r="AH207" s="5">
        <v>0</v>
      </c>
      <c r="AI207" s="5">
        <v>10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1</v>
      </c>
      <c r="AQ207" s="38" t="s">
        <v>361</v>
      </c>
      <c r="AR207" s="5">
        <v>1</v>
      </c>
      <c r="AS207" s="5">
        <v>36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6" t="s">
        <v>68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  <c r="CL207" s="77" t="str">
        <f t="shared" si="6"/>
        <v>FMTextNo-IndentSpaceAroundfmtx1</v>
      </c>
    </row>
    <row r="208" spans="1:90">
      <c r="A208" s="76" t="str">
        <f t="shared" si="7"/>
        <v>FM Text No-Indent Space Before (#fmtx1)</v>
      </c>
      <c r="B208" s="5"/>
      <c r="C208" s="5" t="s">
        <v>696</v>
      </c>
      <c r="D208" s="5" t="s">
        <v>1154</v>
      </c>
      <c r="E208" s="5" t="s">
        <v>190</v>
      </c>
      <c r="F208" s="5">
        <v>1</v>
      </c>
      <c r="G208" s="5" t="b">
        <v>0</v>
      </c>
      <c r="H208" s="5">
        <v>1</v>
      </c>
      <c r="I208" s="5" t="s">
        <v>74</v>
      </c>
      <c r="J208" s="5">
        <v>12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18</v>
      </c>
      <c r="AD208" s="5">
        <v>0</v>
      </c>
      <c r="AE208" s="5">
        <v>2</v>
      </c>
      <c r="AF208" s="5">
        <v>24</v>
      </c>
      <c r="AG208" s="5">
        <v>0</v>
      </c>
      <c r="AH208" s="5">
        <v>0</v>
      </c>
      <c r="AI208" s="5">
        <v>10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1</v>
      </c>
      <c r="AQ208" s="38" t="s">
        <v>361</v>
      </c>
      <c r="AR208" s="5">
        <v>1</v>
      </c>
      <c r="AS208" s="5">
        <v>18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6" t="s">
        <v>68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  <c r="CL208" s="77" t="str">
        <f t="shared" si="6"/>
        <v>FMTextNo-IndentSpaceBeforefmtx1</v>
      </c>
    </row>
    <row r="209" spans="1:90">
      <c r="A209" s="76" t="str">
        <f t="shared" si="7"/>
        <v>FM Text Space After (fmtx#)</v>
      </c>
      <c r="B209" s="5"/>
      <c r="C209" s="5" t="s">
        <v>697</v>
      </c>
      <c r="D209" s="5" t="s">
        <v>1155</v>
      </c>
      <c r="E209" s="5" t="s">
        <v>190</v>
      </c>
      <c r="F209" s="5">
        <v>1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18</v>
      </c>
      <c r="AE209" s="5">
        <v>2</v>
      </c>
      <c r="AF209" s="5">
        <v>24</v>
      </c>
      <c r="AG209" s="5">
        <v>0</v>
      </c>
      <c r="AH209" s="5">
        <v>36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1</v>
      </c>
      <c r="AQ209" s="40" t="s">
        <v>363</v>
      </c>
      <c r="AR209" s="5">
        <v>2</v>
      </c>
      <c r="AS209" s="5">
        <v>12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6" t="s">
        <v>68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  <c r="CL209" s="77" t="str">
        <f t="shared" si="6"/>
        <v>FMTextSpaceAfterfmtx</v>
      </c>
    </row>
    <row r="210" spans="1:90">
      <c r="A210" s="76" t="str">
        <f t="shared" si="7"/>
        <v>FM Text Space Around (#fmtx#)</v>
      </c>
      <c r="B210" s="5"/>
      <c r="C210" s="5" t="s">
        <v>698</v>
      </c>
      <c r="D210" s="5" t="s">
        <v>1156</v>
      </c>
      <c r="E210" s="5" t="s">
        <v>190</v>
      </c>
      <c r="F210" s="5">
        <v>1</v>
      </c>
      <c r="G210" s="5" t="b">
        <v>0</v>
      </c>
      <c r="H210" s="5">
        <v>1</v>
      </c>
      <c r="I210" s="5" t="s">
        <v>74</v>
      </c>
      <c r="J210" s="5">
        <v>12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18</v>
      </c>
      <c r="AD210" s="5">
        <v>18</v>
      </c>
      <c r="AE210" s="5">
        <v>2</v>
      </c>
      <c r="AF210" s="5">
        <v>24</v>
      </c>
      <c r="AG210" s="5">
        <v>0</v>
      </c>
      <c r="AH210" s="5">
        <v>36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1</v>
      </c>
      <c r="AQ210" s="40" t="s">
        <v>363</v>
      </c>
      <c r="AR210" s="5">
        <v>2</v>
      </c>
      <c r="AS210" s="5">
        <v>48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6" t="s">
        <v>68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  <c r="CL210" s="77" t="str">
        <f t="shared" si="6"/>
        <v>FMTextSpaceAroundfmtx</v>
      </c>
    </row>
    <row r="211" spans="1:90">
      <c r="A211" s="76" t="str">
        <f t="shared" si="7"/>
        <v>FM Text Space Before (#fmtx)</v>
      </c>
      <c r="B211" s="5"/>
      <c r="C211" s="5" t="s">
        <v>699</v>
      </c>
      <c r="D211" s="5" t="s">
        <v>1157</v>
      </c>
      <c r="E211" s="5" t="s">
        <v>190</v>
      </c>
      <c r="F211" s="5">
        <v>1</v>
      </c>
      <c r="G211" s="5" t="b">
        <v>0</v>
      </c>
      <c r="H211" s="5">
        <v>1</v>
      </c>
      <c r="I211" s="5" t="s">
        <v>74</v>
      </c>
      <c r="J211" s="5">
        <v>12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18</v>
      </c>
      <c r="AD211" s="5">
        <v>0</v>
      </c>
      <c r="AE211" s="5">
        <v>2</v>
      </c>
      <c r="AF211" s="5">
        <v>24</v>
      </c>
      <c r="AG211" s="5">
        <v>0</v>
      </c>
      <c r="AH211" s="5">
        <v>36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1</v>
      </c>
      <c r="AQ211" s="40" t="s">
        <v>363</v>
      </c>
      <c r="AR211" s="5">
        <v>2</v>
      </c>
      <c r="AS211" s="5">
        <v>18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6" t="s">
        <v>68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  <c r="CL211" s="77" t="str">
        <f t="shared" si="6"/>
        <v>FMTextSpaceBeforefmtx</v>
      </c>
    </row>
    <row r="212" spans="1:90">
      <c r="A212" s="76" t="str">
        <f t="shared" si="7"/>
        <v>FM Title (fmt)</v>
      </c>
      <c r="B212" s="5"/>
      <c r="C212" s="5" t="s">
        <v>700</v>
      </c>
      <c r="D212" s="5" t="s">
        <v>1158</v>
      </c>
      <c r="E212" s="5" t="s">
        <v>188</v>
      </c>
      <c r="F212" s="5">
        <v>1</v>
      </c>
      <c r="G212" s="5" t="b">
        <v>0</v>
      </c>
      <c r="H212" s="5">
        <v>1</v>
      </c>
      <c r="I212" s="5" t="s">
        <v>84</v>
      </c>
      <c r="J212" s="5">
        <v>18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36</v>
      </c>
      <c r="AD212" s="5">
        <v>10</v>
      </c>
      <c r="AE212" s="5">
        <v>2</v>
      </c>
      <c r="AF212" s="5">
        <v>24</v>
      </c>
      <c r="AG212" s="5">
        <v>1</v>
      </c>
      <c r="AH212" s="5">
        <v>0</v>
      </c>
      <c r="AI212" s="5">
        <v>3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8" t="s">
        <v>361</v>
      </c>
      <c r="AR212" s="5">
        <v>5</v>
      </c>
      <c r="AS212" s="5">
        <v>18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  <c r="CL212" s="77" t="str">
        <f t="shared" si="6"/>
        <v>FMTitlefmt</v>
      </c>
    </row>
    <row r="213" spans="1:90">
      <c r="A213" s="76" t="str">
        <f t="shared" si="7"/>
        <v>Footnote Text (fn)</v>
      </c>
      <c r="B213" s="5"/>
      <c r="C213" s="5" t="s">
        <v>701</v>
      </c>
      <c r="D213" s="5" t="s">
        <v>1159</v>
      </c>
      <c r="E213" s="5" t="s">
        <v>192</v>
      </c>
      <c r="F213" s="5">
        <v>1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12</v>
      </c>
      <c r="AE213" s="5">
        <v>2</v>
      </c>
      <c r="AF213" s="5">
        <v>24</v>
      </c>
      <c r="AG213" s="5">
        <v>0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41" t="s">
        <v>193</v>
      </c>
      <c r="AR213" s="5">
        <v>1</v>
      </c>
      <c r="AS213" s="5">
        <v>48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  <c r="BN213" s="8" t="s">
        <v>1477</v>
      </c>
      <c r="BO213" s="8" t="s">
        <v>1477</v>
      </c>
      <c r="CL213" s="77" t="str">
        <f t="shared" si="6"/>
        <v>FootnoteTextfn</v>
      </c>
    </row>
    <row r="214" spans="1:90">
      <c r="A214" s="76" t="str">
        <f t="shared" si="7"/>
        <v>Front Sales Quote (fsq)</v>
      </c>
      <c r="B214" s="5"/>
      <c r="C214" s="5" t="s">
        <v>702</v>
      </c>
      <c r="D214" s="5" t="s">
        <v>1160</v>
      </c>
      <c r="E214" s="5" t="s">
        <v>194</v>
      </c>
      <c r="F214" s="5">
        <v>1</v>
      </c>
      <c r="G214" s="5" t="b">
        <v>0</v>
      </c>
      <c r="H214" s="5">
        <v>1</v>
      </c>
      <c r="I214" s="5" t="s">
        <v>2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36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42" t="s">
        <v>366</v>
      </c>
      <c r="AR214" s="5">
        <v>18</v>
      </c>
      <c r="AS214" s="5">
        <v>12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  <c r="CL214" s="77" t="str">
        <f t="shared" si="6"/>
        <v>FrontSalesQuotefsq</v>
      </c>
    </row>
    <row r="215" spans="1:90">
      <c r="A215" s="76" t="str">
        <f t="shared" si="7"/>
        <v>Front Sales Quote Head (fsqh)</v>
      </c>
      <c r="B215" s="5"/>
      <c r="C215" s="5" t="s">
        <v>703</v>
      </c>
      <c r="D215" s="5" t="s">
        <v>1161</v>
      </c>
      <c r="E215" s="5" t="s">
        <v>195</v>
      </c>
      <c r="F215" s="5">
        <v>1</v>
      </c>
      <c r="G215" s="5" t="b">
        <v>0</v>
      </c>
      <c r="H215" s="5">
        <v>1</v>
      </c>
      <c r="I215" s="5" t="s">
        <v>4</v>
      </c>
      <c r="J215" s="5">
        <v>11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0</v>
      </c>
      <c r="AB215" s="5">
        <v>0</v>
      </c>
      <c r="AC215" s="5">
        <v>18</v>
      </c>
      <c r="AD215" s="5">
        <v>10</v>
      </c>
      <c r="AE215" s="5">
        <v>2</v>
      </c>
      <c r="AF215" s="5">
        <v>24</v>
      </c>
      <c r="AG215" s="5">
        <v>1</v>
      </c>
      <c r="AH215" s="5">
        <v>0</v>
      </c>
      <c r="AI215" s="5">
        <v>3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42" t="s">
        <v>366</v>
      </c>
      <c r="AR215" s="5">
        <v>8</v>
      </c>
      <c r="AS215" s="5">
        <v>12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4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  <c r="CL215" s="77" t="str">
        <f t="shared" si="6"/>
        <v>FrontSalesQuoteHeadfsqh</v>
      </c>
    </row>
    <row r="216" spans="1:90">
      <c r="A216" s="76" t="str">
        <f t="shared" si="7"/>
        <v>Front Sales Quote NoIndent (fsq1)</v>
      </c>
      <c r="B216" s="5"/>
      <c r="C216" s="5" t="s">
        <v>704</v>
      </c>
      <c r="D216" s="5" t="s">
        <v>1162</v>
      </c>
      <c r="E216" s="5" t="s">
        <v>194</v>
      </c>
      <c r="F216" s="5">
        <v>1</v>
      </c>
      <c r="G216" s="5" t="b">
        <v>0</v>
      </c>
      <c r="H216" s="5">
        <v>1</v>
      </c>
      <c r="I216" s="5" t="s">
        <v>2</v>
      </c>
      <c r="J216" s="5">
        <v>11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0</v>
      </c>
      <c r="Y216" s="5" t="b">
        <v>0</v>
      </c>
      <c r="Z216" s="5" t="b">
        <v>0</v>
      </c>
      <c r="AA216" s="5">
        <v>0</v>
      </c>
      <c r="AB216" s="5">
        <v>0</v>
      </c>
      <c r="AC216" s="5">
        <v>0</v>
      </c>
      <c r="AD216" s="5">
        <v>0</v>
      </c>
      <c r="AE216" s="5">
        <v>2</v>
      </c>
      <c r="AF216" s="5">
        <v>24</v>
      </c>
      <c r="AG216" s="5">
        <v>0</v>
      </c>
      <c r="AH216" s="5">
        <v>0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42" t="s">
        <v>366</v>
      </c>
      <c r="AR216" s="5">
        <v>1</v>
      </c>
      <c r="AS216" s="5">
        <v>48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4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  <c r="CL216" s="77" t="str">
        <f t="shared" si="6"/>
        <v>FrontSalesQuoteNoIndentfsq1</v>
      </c>
    </row>
    <row r="217" spans="1:90">
      <c r="A217" s="76" t="str">
        <f t="shared" si="7"/>
        <v>Front Sales Quote Source (fsqs)</v>
      </c>
      <c r="B217" s="5"/>
      <c r="C217" s="5" t="s">
        <v>705</v>
      </c>
      <c r="D217" s="5" t="s">
        <v>1163</v>
      </c>
      <c r="E217" s="5" t="s">
        <v>197</v>
      </c>
      <c r="F217" s="5">
        <v>1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42" t="s">
        <v>366</v>
      </c>
      <c r="AR217" s="5">
        <v>7</v>
      </c>
      <c r="AS217" s="5">
        <v>18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4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  <c r="CL217" s="77" t="str">
        <f t="shared" si="6"/>
        <v>FrontSalesQuoteSourcefsqs</v>
      </c>
    </row>
    <row r="218" spans="1:90">
      <c r="A218" s="76" t="str">
        <f t="shared" si="7"/>
        <v>Front Sales Subtitle (fsst)</v>
      </c>
      <c r="B218" s="5"/>
      <c r="C218" s="5" t="s">
        <v>706</v>
      </c>
      <c r="D218" s="5" t="s">
        <v>1164</v>
      </c>
      <c r="E218" s="5" t="s">
        <v>197</v>
      </c>
      <c r="F218" s="5">
        <v>1</v>
      </c>
      <c r="G218" s="5" t="b">
        <v>0</v>
      </c>
      <c r="H218" s="5">
        <v>1</v>
      </c>
      <c r="I218" s="5" t="s">
        <v>74</v>
      </c>
      <c r="J218" s="5">
        <v>18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0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10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42" t="s">
        <v>366</v>
      </c>
      <c r="AR218" s="5">
        <v>19</v>
      </c>
      <c r="AS218" s="5">
        <v>6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  <c r="CL218" s="77" t="str">
        <f t="shared" si="6"/>
        <v>FrontSalesSubtitlefsst</v>
      </c>
    </row>
    <row r="219" spans="1:90">
      <c r="A219" s="76" t="str">
        <f t="shared" si="7"/>
        <v>Front Sales Text (fstx)</v>
      </c>
      <c r="B219" s="5"/>
      <c r="C219" s="5" t="s">
        <v>707</v>
      </c>
      <c r="D219" s="5" t="s">
        <v>1165</v>
      </c>
      <c r="E219" s="5" t="s">
        <v>196</v>
      </c>
      <c r="F219" s="5">
        <v>1</v>
      </c>
      <c r="G219" s="5" t="b">
        <v>0</v>
      </c>
      <c r="H219" s="5">
        <v>1</v>
      </c>
      <c r="I219" s="5" t="s">
        <v>74</v>
      </c>
      <c r="J219" s="5">
        <v>12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0</v>
      </c>
      <c r="AD219" s="5">
        <v>0</v>
      </c>
      <c r="AE219" s="5">
        <v>2</v>
      </c>
      <c r="AF219" s="5">
        <v>24</v>
      </c>
      <c r="AG219" s="5">
        <v>0</v>
      </c>
      <c r="AH219" s="5">
        <v>36</v>
      </c>
      <c r="AI219" s="5">
        <v>10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42" t="s">
        <v>366</v>
      </c>
      <c r="AR219" s="5">
        <v>15</v>
      </c>
      <c r="AS219" s="5">
        <v>36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  <c r="CL219" s="77" t="str">
        <f t="shared" si="6"/>
        <v>FrontSalesTextfstx</v>
      </c>
    </row>
    <row r="220" spans="1:90">
      <c r="A220" s="76" t="str">
        <f t="shared" si="7"/>
        <v>Front Sales Text NoIndent (fstx1)</v>
      </c>
      <c r="B220" s="5"/>
      <c r="C220" s="5" t="s">
        <v>708</v>
      </c>
      <c r="D220" s="5" t="s">
        <v>1166</v>
      </c>
      <c r="E220" s="5" t="s">
        <v>196</v>
      </c>
      <c r="F220" s="5">
        <v>1</v>
      </c>
      <c r="G220" s="5" t="b">
        <v>0</v>
      </c>
      <c r="H220" s="5">
        <v>1</v>
      </c>
      <c r="I220" s="5" t="s">
        <v>74</v>
      </c>
      <c r="J220" s="5">
        <v>12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2</v>
      </c>
      <c r="AF220" s="5">
        <v>24</v>
      </c>
      <c r="AG220" s="5">
        <v>0</v>
      </c>
      <c r="AH220" s="5">
        <v>0</v>
      </c>
      <c r="AI220" s="5">
        <v>10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42" t="s">
        <v>366</v>
      </c>
      <c r="AR220" s="5">
        <v>16</v>
      </c>
      <c r="AS220" s="5">
        <v>36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6" t="s">
        <v>68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  <c r="CL220" s="77" t="str">
        <f t="shared" si="6"/>
        <v>FrontSalesTextNoIndentfstx1</v>
      </c>
    </row>
    <row r="221" spans="1:90">
      <c r="A221" s="76" t="str">
        <f t="shared" si="7"/>
        <v>Front Sales Title (fst)</v>
      </c>
      <c r="B221" s="5"/>
      <c r="C221" s="5" t="s">
        <v>709</v>
      </c>
      <c r="D221" s="5" t="s">
        <v>1167</v>
      </c>
      <c r="E221" s="5" t="s">
        <v>197</v>
      </c>
      <c r="F221" s="5">
        <v>1</v>
      </c>
      <c r="G221" s="5" t="b">
        <v>0</v>
      </c>
      <c r="H221" s="5">
        <v>1</v>
      </c>
      <c r="I221" s="5" t="s">
        <v>84</v>
      </c>
      <c r="J221" s="5">
        <v>18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0</v>
      </c>
      <c r="AD221" s="5">
        <v>10</v>
      </c>
      <c r="AE221" s="5">
        <v>2</v>
      </c>
      <c r="AF221" s="5">
        <v>24</v>
      </c>
      <c r="AG221" s="5">
        <v>1</v>
      </c>
      <c r="AH221" s="5">
        <v>0</v>
      </c>
      <c r="AI221" s="5">
        <v>10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42" t="s">
        <v>366</v>
      </c>
      <c r="AR221" s="5">
        <v>2</v>
      </c>
      <c r="AS221" s="5">
        <v>48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  <c r="BN221" s="8" t="s">
        <v>1171</v>
      </c>
      <c r="BT221" s="8" t="b">
        <v>1</v>
      </c>
      <c r="CL221" s="77" t="str">
        <f t="shared" si="6"/>
        <v>FrontSalesTitlefst</v>
      </c>
    </row>
    <row r="222" spans="1:90">
      <c r="A222" s="76" t="str">
        <f t="shared" si="7"/>
        <v>Glossary Term (glt)</v>
      </c>
      <c r="B222" s="5"/>
      <c r="C222" s="5" t="s">
        <v>710</v>
      </c>
      <c r="D222" s="5" t="s">
        <v>1168</v>
      </c>
      <c r="E222" s="5" t="s">
        <v>198</v>
      </c>
      <c r="F222" s="5">
        <v>1</v>
      </c>
      <c r="G222" s="5" t="b">
        <v>0</v>
      </c>
      <c r="H222" s="5">
        <v>1</v>
      </c>
      <c r="I222" s="5" t="s">
        <v>84</v>
      </c>
      <c r="J222" s="5">
        <v>11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0</v>
      </c>
      <c r="AD222" s="5">
        <v>10</v>
      </c>
      <c r="AE222" s="5">
        <v>2</v>
      </c>
      <c r="AF222" s="5">
        <v>24</v>
      </c>
      <c r="AG222" s="5">
        <v>0</v>
      </c>
      <c r="AH222" s="5">
        <v>0</v>
      </c>
      <c r="AI222" s="5">
        <v>10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2" t="s">
        <v>149</v>
      </c>
      <c r="AR222" s="5">
        <v>1</v>
      </c>
      <c r="AS222" s="5">
        <v>48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  <c r="CL222" s="77" t="str">
        <f t="shared" si="6"/>
        <v>GlossaryTermglt</v>
      </c>
    </row>
    <row r="223" spans="1:90">
      <c r="A223" s="76" t="str">
        <f t="shared" si="7"/>
        <v>Glossary Text (gltx)</v>
      </c>
      <c r="B223" s="5"/>
      <c r="C223" s="5" t="s">
        <v>711</v>
      </c>
      <c r="D223" s="5" t="s">
        <v>1169</v>
      </c>
      <c r="E223" s="5" t="s">
        <v>199</v>
      </c>
      <c r="F223" s="5">
        <v>1</v>
      </c>
      <c r="G223" s="5" t="b">
        <v>0</v>
      </c>
      <c r="H223" s="5">
        <v>1</v>
      </c>
      <c r="I223" s="5" t="s">
        <v>74</v>
      </c>
      <c r="J223" s="5">
        <v>12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18</v>
      </c>
      <c r="AB223" s="5">
        <v>0</v>
      </c>
      <c r="AC223" s="5">
        <v>0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10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2" t="s">
        <v>149</v>
      </c>
      <c r="AR223" s="5">
        <v>7</v>
      </c>
      <c r="AS223" s="5">
        <v>18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22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  <c r="CL223" s="77" t="str">
        <f t="shared" si="6"/>
        <v>GlossaryTextgltx</v>
      </c>
    </row>
    <row r="224" spans="1:90">
      <c r="A224" s="76" t="str">
        <f t="shared" si="7"/>
        <v>Halftitle Book Title (htit)</v>
      </c>
      <c r="B224" s="5"/>
      <c r="C224" s="5" t="s">
        <v>712</v>
      </c>
      <c r="D224" s="5" t="s">
        <v>1170</v>
      </c>
      <c r="E224" s="5" t="s">
        <v>104</v>
      </c>
      <c r="F224" s="5">
        <v>1</v>
      </c>
      <c r="G224" s="5" t="b">
        <v>0</v>
      </c>
      <c r="H224" s="5">
        <v>1</v>
      </c>
      <c r="I224" s="5" t="s">
        <v>74</v>
      </c>
      <c r="J224" s="5">
        <v>18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72</v>
      </c>
      <c r="AD224" s="5">
        <v>0</v>
      </c>
      <c r="AE224" s="5">
        <v>2</v>
      </c>
      <c r="AF224" s="5">
        <v>24</v>
      </c>
      <c r="AG224" s="5">
        <v>1</v>
      </c>
      <c r="AH224" s="5">
        <v>0</v>
      </c>
      <c r="AI224" s="5">
        <v>10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43" t="s">
        <v>365</v>
      </c>
      <c r="AR224" s="5">
        <v>1</v>
      </c>
      <c r="AS224" s="5">
        <v>48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  <c r="BN224" s="8" t="s">
        <v>1171</v>
      </c>
      <c r="BT224" s="8" t="b">
        <v>1</v>
      </c>
      <c r="CL224" s="77" t="str">
        <f t="shared" si="6"/>
        <v>HalftitleBookTitlehtit</v>
      </c>
    </row>
    <row r="225" spans="1:90">
      <c r="A225" s="76" t="str">
        <f t="shared" si="7"/>
        <v>Head - Level-1 (h1)</v>
      </c>
      <c r="B225" s="5"/>
      <c r="C225" s="5" t="s">
        <v>713</v>
      </c>
      <c r="D225" s="5" t="s">
        <v>1171</v>
      </c>
      <c r="E225" s="5" t="s">
        <v>201</v>
      </c>
      <c r="F225" s="5">
        <v>1</v>
      </c>
      <c r="G225" s="5" t="b">
        <v>1</v>
      </c>
      <c r="H225" s="5">
        <v>1</v>
      </c>
      <c r="I225" s="5" t="s">
        <v>4</v>
      </c>
      <c r="J225" s="5">
        <v>16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1</v>
      </c>
      <c r="T225" s="5" t="b">
        <v>1</v>
      </c>
      <c r="U225" s="5" t="b">
        <v>1</v>
      </c>
      <c r="V225" s="5" t="b">
        <v>0</v>
      </c>
      <c r="W225" s="70" t="s">
        <v>396</v>
      </c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4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30" t="s">
        <v>145</v>
      </c>
      <c r="AR225" s="5">
        <v>1</v>
      </c>
      <c r="AS225" s="5">
        <v>48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  <c r="CL225" s="77" t="str">
        <f t="shared" si="6"/>
        <v>Head-Level-1h1</v>
      </c>
    </row>
    <row r="226" spans="1:90">
      <c r="A226" s="76" t="str">
        <f t="shared" si="7"/>
        <v>Head - Level-2 (h2)</v>
      </c>
      <c r="B226" s="5"/>
      <c r="C226" s="5" t="s">
        <v>714</v>
      </c>
      <c r="D226" s="5" t="s">
        <v>1172</v>
      </c>
      <c r="E226" s="5" t="s">
        <v>201</v>
      </c>
      <c r="F226" s="5">
        <v>1</v>
      </c>
      <c r="G226" s="5" t="b">
        <v>1</v>
      </c>
      <c r="H226" s="5">
        <v>1</v>
      </c>
      <c r="I226" s="5" t="s">
        <v>2</v>
      </c>
      <c r="J226" s="5">
        <v>16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1</v>
      </c>
      <c r="T226" s="5" t="b">
        <v>1</v>
      </c>
      <c r="U226" s="5" t="b">
        <v>1</v>
      </c>
      <c r="V226" s="5" t="b">
        <v>0</v>
      </c>
      <c r="W226" s="70" t="s">
        <v>397</v>
      </c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18</v>
      </c>
      <c r="AD226" s="5">
        <v>0</v>
      </c>
      <c r="AE226" s="5">
        <v>2</v>
      </c>
      <c r="AF226" s="5">
        <v>24</v>
      </c>
      <c r="AG226" s="5">
        <v>0</v>
      </c>
      <c r="AH226" s="5">
        <v>0</v>
      </c>
      <c r="AI226" s="5">
        <v>5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30" t="s">
        <v>145</v>
      </c>
      <c r="AR226" s="5">
        <v>7</v>
      </c>
      <c r="AS226" s="5">
        <v>18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  <c r="CL226" s="77" t="str">
        <f t="shared" si="6"/>
        <v>Head-Level-2h2</v>
      </c>
    </row>
    <row r="227" spans="1:90">
      <c r="A227" s="76" t="str">
        <f t="shared" si="7"/>
        <v>Head - Level-3 (h3)</v>
      </c>
      <c r="B227" s="5"/>
      <c r="C227" s="5" t="s">
        <v>715</v>
      </c>
      <c r="D227" s="5" t="s">
        <v>1173</v>
      </c>
      <c r="E227" s="5" t="s">
        <v>201</v>
      </c>
      <c r="F227" s="5">
        <v>1</v>
      </c>
      <c r="G227" s="5" t="b">
        <v>0</v>
      </c>
      <c r="H227" s="5">
        <v>1</v>
      </c>
      <c r="I227" s="5" t="s">
        <v>84</v>
      </c>
      <c r="J227" s="5">
        <v>16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1</v>
      </c>
      <c r="T227" s="5" t="b">
        <v>1</v>
      </c>
      <c r="U227" s="5" t="b">
        <v>1</v>
      </c>
      <c r="V227" s="5" t="b">
        <v>0</v>
      </c>
      <c r="W227" s="70" t="s">
        <v>398</v>
      </c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18</v>
      </c>
      <c r="AD227" s="5">
        <v>0</v>
      </c>
      <c r="AE227" s="5">
        <v>2</v>
      </c>
      <c r="AF227" s="5">
        <v>24</v>
      </c>
      <c r="AG227" s="5">
        <v>0</v>
      </c>
      <c r="AH227" s="5">
        <v>0</v>
      </c>
      <c r="AI227" s="5">
        <v>6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30" t="s">
        <v>145</v>
      </c>
      <c r="AR227" s="5">
        <v>2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  <c r="CL227" s="77" t="str">
        <f t="shared" si="6"/>
        <v>Head-Level-3h3</v>
      </c>
    </row>
    <row r="228" spans="1:90">
      <c r="A228" s="76" t="str">
        <f t="shared" si="7"/>
        <v>Head - Level-4 (h4)</v>
      </c>
      <c r="B228" s="5"/>
      <c r="C228" s="5" t="s">
        <v>716</v>
      </c>
      <c r="D228" s="5" t="s">
        <v>1174</v>
      </c>
      <c r="E228" s="5" t="s">
        <v>201</v>
      </c>
      <c r="F228" s="5">
        <v>1</v>
      </c>
      <c r="G228" s="5" t="b">
        <v>0</v>
      </c>
      <c r="H228" s="5">
        <v>1</v>
      </c>
      <c r="I228" s="5" t="s">
        <v>4</v>
      </c>
      <c r="J228" s="5">
        <v>14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18</v>
      </c>
      <c r="AD228" s="5">
        <v>0</v>
      </c>
      <c r="AE228" s="5">
        <v>2</v>
      </c>
      <c r="AF228" s="5">
        <v>24</v>
      </c>
      <c r="AG228" s="5">
        <v>0</v>
      </c>
      <c r="AH228" s="5">
        <v>0</v>
      </c>
      <c r="AI228" s="5">
        <v>7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30" t="s">
        <v>145</v>
      </c>
      <c r="AR228" s="5">
        <v>8</v>
      </c>
      <c r="AS228" s="5">
        <v>12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  <c r="CL228" s="77" t="str">
        <f t="shared" si="6"/>
        <v>Head-Level-4h4</v>
      </c>
    </row>
    <row r="229" spans="1:90">
      <c r="A229" s="76" t="str">
        <f t="shared" si="7"/>
        <v>Head - Level-5 (h5)</v>
      </c>
      <c r="B229" s="5"/>
      <c r="C229" s="5" t="s">
        <v>717</v>
      </c>
      <c r="D229" s="5" t="s">
        <v>1175</v>
      </c>
      <c r="E229" s="5" t="s">
        <v>201</v>
      </c>
      <c r="F229" s="5">
        <v>1</v>
      </c>
      <c r="G229" s="5" t="b">
        <v>0</v>
      </c>
      <c r="H229" s="5">
        <v>1</v>
      </c>
      <c r="I229" s="5" t="s">
        <v>2</v>
      </c>
      <c r="J229" s="5">
        <v>14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18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8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30" t="s">
        <v>145</v>
      </c>
      <c r="AR229" s="5">
        <v>15</v>
      </c>
      <c r="AS229" s="5">
        <v>36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  <c r="CL229" s="77" t="str">
        <f t="shared" si="6"/>
        <v>Head-Level-5h5</v>
      </c>
    </row>
    <row r="230" spans="1:90">
      <c r="A230" s="76" t="str">
        <f t="shared" si="7"/>
        <v>Head - Level-6 (h6)</v>
      </c>
      <c r="B230" s="5"/>
      <c r="C230" s="5" t="s">
        <v>718</v>
      </c>
      <c r="D230" s="5" t="s">
        <v>1176</v>
      </c>
      <c r="E230" s="5" t="s">
        <v>201</v>
      </c>
      <c r="F230" s="5">
        <v>1</v>
      </c>
      <c r="G230" s="5" t="b">
        <v>0</v>
      </c>
      <c r="H230" s="5">
        <v>1</v>
      </c>
      <c r="I230" s="5" t="s">
        <v>84</v>
      </c>
      <c r="J230" s="5">
        <v>16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18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9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30" t="s">
        <v>145</v>
      </c>
      <c r="AR230" s="5">
        <v>16</v>
      </c>
      <c r="AS230" s="5">
        <v>36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  <c r="CL230" s="77" t="str">
        <f t="shared" si="6"/>
        <v>Head-Level-6h6</v>
      </c>
    </row>
    <row r="231" spans="1:90">
      <c r="A231" s="76" t="str">
        <f t="shared" si="7"/>
        <v>Illustration Credits Text (ilctx)</v>
      </c>
      <c r="B231" s="5"/>
      <c r="C231" s="5" t="s">
        <v>719</v>
      </c>
      <c r="D231" s="5" t="s">
        <v>1177</v>
      </c>
      <c r="E231" s="5" t="s">
        <v>202</v>
      </c>
      <c r="F231" s="5">
        <v>1</v>
      </c>
      <c r="G231" s="5" t="b">
        <v>0</v>
      </c>
      <c r="H231" s="5">
        <v>1</v>
      </c>
      <c r="I231" s="5" t="s">
        <v>84</v>
      </c>
      <c r="J231" s="5">
        <v>10.5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10</v>
      </c>
      <c r="AE231" s="5">
        <v>5</v>
      </c>
      <c r="AF231" s="5">
        <v>13.8</v>
      </c>
      <c r="AG231" s="5">
        <v>0</v>
      </c>
      <c r="AH231" s="5">
        <v>36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22" t="s">
        <v>123</v>
      </c>
      <c r="AR231" s="5">
        <v>2</v>
      </c>
      <c r="AS231" s="5">
        <v>48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  <c r="BP231" s="8" t="s">
        <v>1475</v>
      </c>
      <c r="BZ231" s="8" t="b">
        <v>1</v>
      </c>
      <c r="CL231" s="77" t="str">
        <f t="shared" si="6"/>
        <v>IllustrationCreditsTextilctx</v>
      </c>
    </row>
    <row r="232" spans="1:90">
      <c r="A232" s="76" t="str">
        <f t="shared" si="7"/>
        <v>Illustration Credits Text No-Indent (ilctx1)</v>
      </c>
      <c r="B232" s="5"/>
      <c r="C232" s="5" t="s">
        <v>720</v>
      </c>
      <c r="D232" s="5" t="s">
        <v>1178</v>
      </c>
      <c r="E232" s="5" t="s">
        <v>202</v>
      </c>
      <c r="F232" s="5">
        <v>1</v>
      </c>
      <c r="G232" s="5" t="b">
        <v>0</v>
      </c>
      <c r="H232" s="5">
        <v>1</v>
      </c>
      <c r="I232" s="5" t="s">
        <v>84</v>
      </c>
      <c r="J232" s="5">
        <v>10.5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6</v>
      </c>
      <c r="AD232" s="5">
        <v>10</v>
      </c>
      <c r="AE232" s="5">
        <v>5</v>
      </c>
      <c r="AF232" s="5">
        <v>13.8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22" t="s">
        <v>123</v>
      </c>
      <c r="AR232" s="5">
        <v>8</v>
      </c>
      <c r="AS232" s="5">
        <v>12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  <c r="BP232" s="8" t="s">
        <v>1475</v>
      </c>
      <c r="BZ232" s="8" t="b">
        <v>1</v>
      </c>
      <c r="CL232" s="77" t="str">
        <f t="shared" si="6"/>
        <v>IllustrationCreditsTextNo-Indentilctx1</v>
      </c>
    </row>
    <row r="233" spans="1:90">
      <c r="A233" s="76" t="str">
        <f t="shared" si="7"/>
        <v>Illustration holder (ill)</v>
      </c>
      <c r="B233" s="5"/>
      <c r="C233" s="5" t="s">
        <v>721</v>
      </c>
      <c r="D233" s="5" t="s">
        <v>1179</v>
      </c>
      <c r="E233" s="5" t="s">
        <v>234</v>
      </c>
      <c r="F233" s="5">
        <v>1</v>
      </c>
      <c r="G233" s="5" t="b">
        <v>1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12</v>
      </c>
      <c r="AD233" s="5">
        <v>12</v>
      </c>
      <c r="AE233" s="5">
        <v>5</v>
      </c>
      <c r="AF233" s="5">
        <v>13.8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1</v>
      </c>
      <c r="AM233" s="6" t="s">
        <v>68</v>
      </c>
      <c r="AN233" s="5">
        <v>1</v>
      </c>
      <c r="AO233" s="5">
        <v>8</v>
      </c>
      <c r="AP233" s="5" t="b">
        <v>1</v>
      </c>
      <c r="AQ233" s="6" t="s">
        <v>68</v>
      </c>
      <c r="AR233" s="5">
        <v>1</v>
      </c>
      <c r="AS233" s="5">
        <v>8</v>
      </c>
      <c r="AT233" s="5" t="b">
        <v>1</v>
      </c>
      <c r="AU233" s="6" t="s">
        <v>68</v>
      </c>
      <c r="AV233" s="5">
        <v>1</v>
      </c>
      <c r="AW233" s="5">
        <v>8</v>
      </c>
      <c r="AX233" s="5" t="b">
        <v>1</v>
      </c>
      <c r="AY233" s="6" t="s">
        <v>68</v>
      </c>
      <c r="AZ233" s="5">
        <v>1</v>
      </c>
      <c r="BA233" s="5">
        <v>8</v>
      </c>
      <c r="BB233" s="5">
        <v>4</v>
      </c>
      <c r="BC233" s="5">
        <v>4</v>
      </c>
      <c r="BD233" s="5">
        <v>6</v>
      </c>
      <c r="BE233" s="5">
        <v>6</v>
      </c>
      <c r="BF233" s="22" t="s">
        <v>123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  <c r="BN233" s="8" t="s">
        <v>1478</v>
      </c>
      <c r="BP233" s="8" t="s">
        <v>1475</v>
      </c>
      <c r="BZ233" s="8" t="b">
        <v>1</v>
      </c>
      <c r="CA233" s="8" t="b">
        <v>1</v>
      </c>
      <c r="CL233" s="77" t="str">
        <f t="shared" si="6"/>
        <v>Illustrationholderill</v>
      </c>
    </row>
    <row r="234" spans="1:90">
      <c r="A234" s="76" t="str">
        <f t="shared" si="7"/>
        <v>Illustration Source (is)</v>
      </c>
      <c r="B234" s="5"/>
      <c r="C234" s="5" t="s">
        <v>722</v>
      </c>
      <c r="D234" s="5" t="s">
        <v>1180</v>
      </c>
      <c r="E234" s="5" t="s">
        <v>203</v>
      </c>
      <c r="F234" s="5">
        <v>1</v>
      </c>
      <c r="G234" s="5" t="b">
        <v>0</v>
      </c>
      <c r="H234" s="5">
        <v>1</v>
      </c>
      <c r="I234" s="5" t="s">
        <v>2</v>
      </c>
      <c r="J234" s="5">
        <v>10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10</v>
      </c>
      <c r="AE234" s="5">
        <v>2</v>
      </c>
      <c r="AF234" s="5">
        <v>24</v>
      </c>
      <c r="AG234" s="5">
        <v>0</v>
      </c>
      <c r="AH234" s="5">
        <v>0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22" t="s">
        <v>123</v>
      </c>
      <c r="AR234" s="5">
        <v>7</v>
      </c>
      <c r="AS234" s="5">
        <v>18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  <c r="BP234" s="8" t="s">
        <v>1475</v>
      </c>
      <c r="BZ234" s="8" t="b">
        <v>1</v>
      </c>
      <c r="CC234" s="8" t="b">
        <v>1</v>
      </c>
      <c r="CL234" s="77" t="str">
        <f t="shared" si="6"/>
        <v>IllustrationSourceis</v>
      </c>
    </row>
    <row r="235" spans="1:90">
      <c r="A235" s="76" t="str">
        <f t="shared" si="7"/>
        <v>Index Entry (ine)</v>
      </c>
      <c r="B235" s="5"/>
      <c r="C235" s="5" t="s">
        <v>723</v>
      </c>
      <c r="D235" s="5" t="s">
        <v>1181</v>
      </c>
      <c r="E235" s="5" t="s">
        <v>204</v>
      </c>
      <c r="F235" s="5">
        <v>1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2</v>
      </c>
      <c r="AF235" s="5">
        <v>24</v>
      </c>
      <c r="AG235" s="5">
        <v>0</v>
      </c>
      <c r="AH235" s="5">
        <v>0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44" t="s">
        <v>205</v>
      </c>
      <c r="AR235" s="5">
        <v>7</v>
      </c>
      <c r="AS235" s="5">
        <v>18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  <c r="CL235" s="77" t="str">
        <f t="shared" si="6"/>
        <v>IndexEntryine</v>
      </c>
    </row>
    <row r="236" spans="1:90">
      <c r="A236" s="76" t="str">
        <f t="shared" si="7"/>
        <v>Index Internal Subhead (ih1)</v>
      </c>
      <c r="B236" s="5"/>
      <c r="C236" s="5" t="s">
        <v>724</v>
      </c>
      <c r="D236" s="5" t="s">
        <v>1182</v>
      </c>
      <c r="E236" s="5" t="s">
        <v>204</v>
      </c>
      <c r="F236" s="5">
        <v>1</v>
      </c>
      <c r="G236" s="5" t="b">
        <v>0</v>
      </c>
      <c r="H236" s="5">
        <v>1</v>
      </c>
      <c r="I236" s="5" t="s">
        <v>4</v>
      </c>
      <c r="J236" s="5">
        <v>11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6</v>
      </c>
      <c r="AD236" s="5">
        <v>10</v>
      </c>
      <c r="AE236" s="5">
        <v>5</v>
      </c>
      <c r="AF236" s="5">
        <v>13.8</v>
      </c>
      <c r="AG236" s="5">
        <v>0</v>
      </c>
      <c r="AH236" s="5">
        <v>0</v>
      </c>
      <c r="AI236" s="5">
        <v>4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44" t="s">
        <v>205</v>
      </c>
      <c r="AR236" s="5">
        <v>2</v>
      </c>
      <c r="AS236" s="5">
        <v>48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  <c r="CL236" s="77" t="str">
        <f t="shared" si="6"/>
        <v>IndexInternalSubheadih1</v>
      </c>
    </row>
    <row r="237" spans="1:90">
      <c r="A237" s="76" t="str">
        <f t="shared" si="7"/>
        <v>Index Sub-subentry (insse)</v>
      </c>
      <c r="B237" s="5"/>
      <c r="C237" s="5" t="s">
        <v>725</v>
      </c>
      <c r="D237" s="5" t="s">
        <v>1183</v>
      </c>
      <c r="E237" s="5" t="s">
        <v>204</v>
      </c>
      <c r="F237" s="5">
        <v>1</v>
      </c>
      <c r="G237" s="5" t="b">
        <v>0</v>
      </c>
      <c r="H237" s="5">
        <v>1</v>
      </c>
      <c r="I237" s="5" t="s">
        <v>74</v>
      </c>
      <c r="J237" s="5">
        <v>12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28.8</v>
      </c>
      <c r="AB237" s="5">
        <v>0</v>
      </c>
      <c r="AC237" s="5">
        <v>0</v>
      </c>
      <c r="AD237" s="5">
        <v>0</v>
      </c>
      <c r="AE237" s="5">
        <v>2</v>
      </c>
      <c r="AF237" s="5">
        <v>24</v>
      </c>
      <c r="AG237" s="5">
        <v>0</v>
      </c>
      <c r="AH237" s="5">
        <v>0</v>
      </c>
      <c r="AI237" s="5">
        <v>10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44" t="s">
        <v>205</v>
      </c>
      <c r="AR237" s="5">
        <v>19</v>
      </c>
      <c r="AS237" s="5">
        <v>6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  <c r="CL237" s="77" t="str">
        <f t="shared" si="6"/>
        <v>IndexSub-subentryinsse</v>
      </c>
    </row>
    <row r="238" spans="1:90">
      <c r="A238" s="76" t="str">
        <f t="shared" si="7"/>
        <v>Index Subentry (inse)</v>
      </c>
      <c r="B238" s="5"/>
      <c r="C238" s="5" t="s">
        <v>726</v>
      </c>
      <c r="D238" s="5" t="s">
        <v>1184</v>
      </c>
      <c r="E238" s="5" t="s">
        <v>204</v>
      </c>
      <c r="F238" s="5">
        <v>1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14.4</v>
      </c>
      <c r="AB238" s="5">
        <v>0</v>
      </c>
      <c r="AC238" s="5">
        <v>0</v>
      </c>
      <c r="AD238" s="5">
        <v>0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44" t="s">
        <v>205</v>
      </c>
      <c r="AR238" s="5">
        <v>18</v>
      </c>
      <c r="AS238" s="5">
        <v>12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  <c r="CL238" s="77" t="str">
        <f t="shared" si="6"/>
        <v>IndexSubentryinse</v>
      </c>
    </row>
    <row r="239" spans="1:90">
      <c r="A239" s="76" t="str">
        <f t="shared" si="7"/>
        <v>Index Text (intx)</v>
      </c>
      <c r="B239" s="5"/>
      <c r="C239" s="5" t="s">
        <v>727</v>
      </c>
      <c r="D239" s="5" t="s">
        <v>1185</v>
      </c>
      <c r="E239" s="5" t="s">
        <v>206</v>
      </c>
      <c r="F239" s="5">
        <v>1</v>
      </c>
      <c r="G239" s="5" t="b">
        <v>0</v>
      </c>
      <c r="H239" s="5">
        <v>1</v>
      </c>
      <c r="I239" s="5" t="s">
        <v>74</v>
      </c>
      <c r="J239" s="5">
        <v>12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2</v>
      </c>
      <c r="AF239" s="5">
        <v>24</v>
      </c>
      <c r="AG239" s="5">
        <v>0</v>
      </c>
      <c r="AH239" s="5">
        <v>0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44" t="s">
        <v>205</v>
      </c>
      <c r="AR239" s="5">
        <v>1</v>
      </c>
      <c r="AS239" s="5">
        <v>48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  <c r="CL239" s="77" t="str">
        <f t="shared" si="6"/>
        <v>IndexTextintx</v>
      </c>
    </row>
    <row r="240" spans="1:90">
      <c r="A240" s="76" t="str">
        <f t="shared" si="7"/>
        <v>Ingredients Head (rih)</v>
      </c>
      <c r="B240" s="5"/>
      <c r="C240" s="5" t="s">
        <v>728</v>
      </c>
      <c r="D240" s="5" t="s">
        <v>1186</v>
      </c>
      <c r="E240" s="5" t="s">
        <v>208</v>
      </c>
      <c r="F240" s="5">
        <v>1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6</v>
      </c>
      <c r="AD240" s="5">
        <v>0</v>
      </c>
      <c r="AE240" s="5">
        <v>2</v>
      </c>
      <c r="AF240" s="5">
        <v>24</v>
      </c>
      <c r="AG240" s="5">
        <v>0</v>
      </c>
      <c r="AH240" s="5">
        <v>0</v>
      </c>
      <c r="AI240" s="5">
        <v>10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45" t="s">
        <v>207</v>
      </c>
      <c r="AR240" s="5">
        <v>2</v>
      </c>
      <c r="AS240" s="5">
        <v>48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  <c r="CL240" s="77" t="str">
        <f t="shared" si="6"/>
        <v>IngredientsHeadrih</v>
      </c>
    </row>
    <row r="241" spans="1:90">
      <c r="A241" s="76" t="str">
        <f t="shared" si="7"/>
        <v>Ingredients List (ri)</v>
      </c>
      <c r="B241" s="5"/>
      <c r="C241" s="5" t="s">
        <v>729</v>
      </c>
      <c r="D241" s="5" t="s">
        <v>1187</v>
      </c>
      <c r="E241" s="5" t="s">
        <v>208</v>
      </c>
      <c r="F241" s="5">
        <v>1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1</v>
      </c>
      <c r="Y241" s="5" t="b">
        <v>0</v>
      </c>
      <c r="Z241" s="5" t="b">
        <v>0</v>
      </c>
      <c r="AA241" s="5">
        <v>27</v>
      </c>
      <c r="AB241" s="5">
        <v>0</v>
      </c>
      <c r="AC241" s="5">
        <v>6</v>
      </c>
      <c r="AD241" s="5">
        <v>0</v>
      </c>
      <c r="AE241" s="5">
        <v>1</v>
      </c>
      <c r="AF241" s="5">
        <v>18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45" t="s">
        <v>207</v>
      </c>
      <c r="AR241" s="5">
        <v>7</v>
      </c>
      <c r="AS241" s="5">
        <v>18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31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  <c r="CL241" s="77" t="str">
        <f t="shared" si="6"/>
        <v>IngredientsListri</v>
      </c>
    </row>
    <row r="242" spans="1:90">
      <c r="A242" s="76" t="str">
        <f t="shared" si="7"/>
        <v>Initial Cap (ic)</v>
      </c>
      <c r="B242" s="5"/>
      <c r="C242" s="5" t="s">
        <v>730</v>
      </c>
      <c r="D242" s="5" t="s">
        <v>1188</v>
      </c>
      <c r="E242" s="5" t="s">
        <v>209</v>
      </c>
      <c r="F242" s="5">
        <v>1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0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3" t="s">
        <v>359</v>
      </c>
      <c r="AR242" s="5">
        <v>1</v>
      </c>
      <c r="AS242" s="5">
        <v>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  <c r="CL242" s="77" t="str">
        <f t="shared" si="6"/>
        <v>InitialCapic</v>
      </c>
    </row>
    <row r="243" spans="1:90">
      <c r="A243" s="76" t="str">
        <f t="shared" si="7"/>
        <v>Letter Ext Address (ladd)</v>
      </c>
      <c r="B243" s="5"/>
      <c r="C243" s="5" t="s">
        <v>731</v>
      </c>
      <c r="D243" s="5" t="s">
        <v>1189</v>
      </c>
      <c r="E243" s="5" t="s">
        <v>210</v>
      </c>
      <c r="F243" s="5">
        <v>1</v>
      </c>
      <c r="G243" s="5" t="b">
        <v>0</v>
      </c>
      <c r="H243" s="5">
        <v>1</v>
      </c>
      <c r="I243" s="5" t="s">
        <v>84</v>
      </c>
      <c r="J243" s="5">
        <v>10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27</v>
      </c>
      <c r="AB243" s="5">
        <v>27</v>
      </c>
      <c r="AC243" s="5">
        <v>0</v>
      </c>
      <c r="AD243" s="5">
        <v>0</v>
      </c>
      <c r="AE243" s="5">
        <v>2</v>
      </c>
      <c r="AF243" s="5">
        <v>24</v>
      </c>
      <c r="AG243" s="5">
        <v>0</v>
      </c>
      <c r="AH243" s="5">
        <v>36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18" t="s">
        <v>107</v>
      </c>
      <c r="AR243" s="5">
        <v>16</v>
      </c>
      <c r="AS243" s="5">
        <v>36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31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  <c r="BP243" s="8" t="s">
        <v>1471</v>
      </c>
      <c r="BU243" s="8" t="b">
        <v>1</v>
      </c>
      <c r="CL243" s="77" t="str">
        <f t="shared" si="6"/>
        <v>LetterExtAddressladd</v>
      </c>
    </row>
    <row r="244" spans="1:90">
      <c r="A244" s="76" t="str">
        <f t="shared" si="7"/>
        <v>Letter Ext Body Text (ltx)</v>
      </c>
      <c r="B244" s="5"/>
      <c r="C244" s="5" t="s">
        <v>732</v>
      </c>
      <c r="D244" s="5" t="s">
        <v>1190</v>
      </c>
      <c r="E244" s="5" t="s">
        <v>211</v>
      </c>
      <c r="F244" s="5">
        <v>1</v>
      </c>
      <c r="G244" s="5" t="b">
        <v>0</v>
      </c>
      <c r="H244" s="5">
        <v>1</v>
      </c>
      <c r="I244" s="5" t="s">
        <v>84</v>
      </c>
      <c r="J244" s="5">
        <v>10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27</v>
      </c>
      <c r="AB244" s="5">
        <v>27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18" t="s">
        <v>107</v>
      </c>
      <c r="AR244" s="5">
        <v>1</v>
      </c>
      <c r="AS244" s="5">
        <v>48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31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  <c r="BP244" s="8" t="s">
        <v>1471</v>
      </c>
      <c r="BU244" s="8" t="b">
        <v>1</v>
      </c>
      <c r="CL244" s="77" t="str">
        <f t="shared" si="6"/>
        <v>LetterExtBodyTextltx</v>
      </c>
    </row>
    <row r="245" spans="1:90">
      <c r="A245" s="76" t="str">
        <f t="shared" si="7"/>
        <v>Letter Ext Body Text No-Indent (ltx1)</v>
      </c>
      <c r="B245" s="5"/>
      <c r="C245" s="5" t="s">
        <v>733</v>
      </c>
      <c r="D245" s="5" t="s">
        <v>1191</v>
      </c>
      <c r="E245" s="5" t="s">
        <v>211</v>
      </c>
      <c r="F245" s="5">
        <v>1</v>
      </c>
      <c r="G245" s="5" t="b">
        <v>0</v>
      </c>
      <c r="H245" s="5">
        <v>1</v>
      </c>
      <c r="I245" s="5" t="s">
        <v>84</v>
      </c>
      <c r="J245" s="5">
        <v>10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27</v>
      </c>
      <c r="AB245" s="5">
        <v>27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18" t="s">
        <v>107</v>
      </c>
      <c r="AR245" s="5">
        <v>7</v>
      </c>
      <c r="AS245" s="5">
        <v>18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31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  <c r="BP245" s="8" t="s">
        <v>1471</v>
      </c>
      <c r="BU245" s="8" t="b">
        <v>1</v>
      </c>
      <c r="CL245" s="77" t="str">
        <f t="shared" si="6"/>
        <v>LetterExtBodyTextNo-Indentltx1</v>
      </c>
    </row>
    <row r="246" spans="1:90">
      <c r="A246" s="76" t="str">
        <f t="shared" si="7"/>
        <v>Letter Ext Closing (lcl)</v>
      </c>
      <c r="B246" s="5"/>
      <c r="C246" s="5" t="s">
        <v>734</v>
      </c>
      <c r="D246" s="5" t="s">
        <v>1192</v>
      </c>
      <c r="E246" s="5" t="s">
        <v>212</v>
      </c>
      <c r="F246" s="5">
        <v>1</v>
      </c>
      <c r="G246" s="5" t="b">
        <v>0</v>
      </c>
      <c r="H246" s="5">
        <v>1</v>
      </c>
      <c r="I246" s="5" t="s">
        <v>84</v>
      </c>
      <c r="J246" s="5">
        <v>10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27</v>
      </c>
      <c r="AB246" s="5">
        <v>27</v>
      </c>
      <c r="AC246" s="5">
        <v>0</v>
      </c>
      <c r="AD246" s="5">
        <v>0</v>
      </c>
      <c r="AE246" s="5">
        <v>2</v>
      </c>
      <c r="AF246" s="5">
        <v>24</v>
      </c>
      <c r="AG246" s="5">
        <v>2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18" t="s">
        <v>107</v>
      </c>
      <c r="AR246" s="5">
        <v>8</v>
      </c>
      <c r="AS246" s="5">
        <v>12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31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  <c r="BP246" s="8" t="s">
        <v>1471</v>
      </c>
      <c r="BU246" s="8" t="b">
        <v>1</v>
      </c>
      <c r="CL246" s="77" t="str">
        <f t="shared" si="6"/>
        <v>LetterExtClosinglcl</v>
      </c>
    </row>
    <row r="247" spans="1:90">
      <c r="A247" s="76" t="str">
        <f t="shared" si="7"/>
        <v>Letter Ext Dateline (ldl)</v>
      </c>
      <c r="B247" s="5"/>
      <c r="C247" s="5" t="s">
        <v>735</v>
      </c>
      <c r="D247" s="5" t="s">
        <v>1193</v>
      </c>
      <c r="E247" s="5" t="s">
        <v>213</v>
      </c>
      <c r="F247" s="5">
        <v>1</v>
      </c>
      <c r="G247" s="5" t="b">
        <v>0</v>
      </c>
      <c r="H247" s="5">
        <v>1</v>
      </c>
      <c r="I247" s="5" t="s">
        <v>84</v>
      </c>
      <c r="J247" s="5">
        <v>10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27</v>
      </c>
      <c r="AB247" s="5">
        <v>27</v>
      </c>
      <c r="AC247" s="5">
        <v>0</v>
      </c>
      <c r="AD247" s="5">
        <v>0</v>
      </c>
      <c r="AE247" s="5">
        <v>2</v>
      </c>
      <c r="AF247" s="5">
        <v>24</v>
      </c>
      <c r="AG247" s="5">
        <v>2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18" t="s">
        <v>107</v>
      </c>
      <c r="AR247" s="5">
        <v>18</v>
      </c>
      <c r="AS247" s="5">
        <v>12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31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  <c r="BP247" s="8" t="s">
        <v>1471</v>
      </c>
      <c r="BU247" s="8" t="b">
        <v>1</v>
      </c>
      <c r="CL247" s="77" t="str">
        <f t="shared" si="6"/>
        <v>LetterExtDatelineldl</v>
      </c>
    </row>
    <row r="248" spans="1:90">
      <c r="A248" s="76" t="str">
        <f t="shared" si="7"/>
        <v>Letter Ext General (extl)</v>
      </c>
      <c r="B248" s="5"/>
      <c r="C248" s="5" t="s">
        <v>736</v>
      </c>
      <c r="D248" s="5" t="s">
        <v>1194</v>
      </c>
      <c r="E248" s="5" t="s">
        <v>214</v>
      </c>
      <c r="F248" s="5">
        <v>1</v>
      </c>
      <c r="G248" s="5" t="b">
        <v>0</v>
      </c>
      <c r="H248" s="5">
        <v>1</v>
      </c>
      <c r="I248" s="5" t="s">
        <v>84</v>
      </c>
      <c r="J248" s="5">
        <v>10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27.35</v>
      </c>
      <c r="AB248" s="5">
        <v>27.35</v>
      </c>
      <c r="AC248" s="5">
        <v>0</v>
      </c>
      <c r="AD248" s="5">
        <v>10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18" t="s">
        <v>107</v>
      </c>
      <c r="AR248" s="5">
        <v>2</v>
      </c>
      <c r="AS248" s="5">
        <v>48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31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  <c r="BP248" s="8" t="s">
        <v>1471</v>
      </c>
      <c r="BU248" s="8" t="b">
        <v>1</v>
      </c>
      <c r="CL248" s="77" t="str">
        <f t="shared" si="6"/>
        <v>LetterExtGeneralextl</v>
      </c>
    </row>
    <row r="249" spans="1:90">
      <c r="A249" s="76" t="str">
        <f t="shared" si="7"/>
        <v>Letter Ext Headnote (hn)</v>
      </c>
      <c r="B249" s="5"/>
      <c r="C249" s="5" t="s">
        <v>737</v>
      </c>
      <c r="D249" s="5" t="s">
        <v>1195</v>
      </c>
      <c r="E249" s="5" t="s">
        <v>215</v>
      </c>
      <c r="F249" s="5">
        <v>1</v>
      </c>
      <c r="G249" s="5" t="b">
        <v>0</v>
      </c>
      <c r="H249" s="5">
        <v>1</v>
      </c>
      <c r="I249" s="5" t="s">
        <v>84</v>
      </c>
      <c r="J249" s="5">
        <v>10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27</v>
      </c>
      <c r="AB249" s="5">
        <v>27</v>
      </c>
      <c r="AC249" s="5">
        <v>0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18" t="s">
        <v>107</v>
      </c>
      <c r="AR249" s="5">
        <v>15</v>
      </c>
      <c r="AS249" s="5">
        <v>36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31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  <c r="BP249" s="8" t="s">
        <v>1471</v>
      </c>
      <c r="BU249" s="8" t="b">
        <v>1</v>
      </c>
      <c r="CL249" s="77" t="str">
        <f t="shared" si="6"/>
        <v>LetterExtHeadnotehn</v>
      </c>
    </row>
    <row r="250" spans="1:90">
      <c r="A250" s="76" t="str">
        <f t="shared" si="7"/>
        <v>Letter Ext Postscript (lps)</v>
      </c>
      <c r="B250" s="5"/>
      <c r="C250" s="5" t="s">
        <v>738</v>
      </c>
      <c r="D250" s="5" t="s">
        <v>1196</v>
      </c>
      <c r="E250" s="5" t="s">
        <v>216</v>
      </c>
      <c r="F250" s="5">
        <v>1</v>
      </c>
      <c r="G250" s="5" t="b">
        <v>0</v>
      </c>
      <c r="H250" s="5">
        <v>1</v>
      </c>
      <c r="I250" s="5" t="s">
        <v>84</v>
      </c>
      <c r="J250" s="5">
        <v>10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0</v>
      </c>
      <c r="T250" s="5" t="b">
        <v>0</v>
      </c>
      <c r="U250" s="5" t="b">
        <v>0</v>
      </c>
      <c r="V250" s="5" t="b">
        <v>0</v>
      </c>
      <c r="W250" s="5"/>
      <c r="X250" s="5" t="b">
        <v>0</v>
      </c>
      <c r="Y250" s="5" t="b">
        <v>0</v>
      </c>
      <c r="Z250" s="5" t="b">
        <v>0</v>
      </c>
      <c r="AA250" s="5">
        <v>27</v>
      </c>
      <c r="AB250" s="5">
        <v>27</v>
      </c>
      <c r="AC250" s="5">
        <v>0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10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18" t="s">
        <v>107</v>
      </c>
      <c r="AR250" s="5">
        <v>1</v>
      </c>
      <c r="AS250" s="5">
        <v>24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31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  <c r="BP250" s="8" t="s">
        <v>1471</v>
      </c>
      <c r="BU250" s="8" t="b">
        <v>1</v>
      </c>
      <c r="CL250" s="77" t="str">
        <f t="shared" si="6"/>
        <v>LetterExtPostscriptlps</v>
      </c>
    </row>
    <row r="251" spans="1:90">
      <c r="A251" s="76" t="str">
        <f t="shared" si="7"/>
        <v>Letter Ext Salutation (lsa)</v>
      </c>
      <c r="B251" s="5"/>
      <c r="C251" s="5" t="s">
        <v>739</v>
      </c>
      <c r="D251" s="5" t="s">
        <v>1197</v>
      </c>
      <c r="E251" s="5" t="s">
        <v>217</v>
      </c>
      <c r="F251" s="5">
        <v>1</v>
      </c>
      <c r="G251" s="5" t="b">
        <v>0</v>
      </c>
      <c r="H251" s="5">
        <v>1</v>
      </c>
      <c r="I251" s="5" t="s">
        <v>84</v>
      </c>
      <c r="J251" s="5">
        <v>10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0</v>
      </c>
      <c r="T251" s="5" t="b">
        <v>0</v>
      </c>
      <c r="U251" s="5" t="b">
        <v>0</v>
      </c>
      <c r="V251" s="5" t="b">
        <v>0</v>
      </c>
      <c r="W251" s="5"/>
      <c r="X251" s="5" t="b">
        <v>0</v>
      </c>
      <c r="Y251" s="5" t="b">
        <v>0</v>
      </c>
      <c r="Z251" s="5" t="b">
        <v>0</v>
      </c>
      <c r="AA251" s="5">
        <v>27.35</v>
      </c>
      <c r="AB251" s="5">
        <v>27.35</v>
      </c>
      <c r="AC251" s="5">
        <v>0</v>
      </c>
      <c r="AD251" s="5">
        <v>0</v>
      </c>
      <c r="AE251" s="5">
        <v>2</v>
      </c>
      <c r="AF251" s="5">
        <v>24</v>
      </c>
      <c r="AG251" s="5">
        <v>0</v>
      </c>
      <c r="AH251" s="5">
        <v>36</v>
      </c>
      <c r="AI251" s="5">
        <v>10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18" t="s">
        <v>107</v>
      </c>
      <c r="AR251" s="5">
        <v>19</v>
      </c>
      <c r="AS251" s="5">
        <v>6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31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  <c r="BP251" s="8" t="s">
        <v>1471</v>
      </c>
      <c r="BU251" s="8" t="b">
        <v>1</v>
      </c>
      <c r="CL251" s="77" t="str">
        <f t="shared" si="6"/>
        <v>LetterExtSalutationlsa</v>
      </c>
    </row>
    <row r="252" spans="1:90">
      <c r="A252" s="76" t="str">
        <f t="shared" si="7"/>
        <v>Letter Ext Signature (lsig)</v>
      </c>
      <c r="B252" s="5"/>
      <c r="C252" s="5" t="s">
        <v>740</v>
      </c>
      <c r="D252" s="5" t="s">
        <v>1198</v>
      </c>
      <c r="E252" s="5" t="s">
        <v>218</v>
      </c>
      <c r="F252" s="5">
        <v>1</v>
      </c>
      <c r="G252" s="5" t="b">
        <v>0</v>
      </c>
      <c r="H252" s="5">
        <v>1</v>
      </c>
      <c r="I252" s="5" t="s">
        <v>84</v>
      </c>
      <c r="J252" s="5">
        <v>10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0</v>
      </c>
      <c r="T252" s="5" t="b">
        <v>0</v>
      </c>
      <c r="U252" s="5" t="b">
        <v>0</v>
      </c>
      <c r="V252" s="5" t="b">
        <v>0</v>
      </c>
      <c r="W252" s="5"/>
      <c r="X252" s="5" t="b">
        <v>0</v>
      </c>
      <c r="Y252" s="5" t="b">
        <v>0</v>
      </c>
      <c r="Z252" s="5" t="b">
        <v>0</v>
      </c>
      <c r="AA252" s="5">
        <v>27</v>
      </c>
      <c r="AB252" s="5">
        <v>27</v>
      </c>
      <c r="AC252" s="5">
        <v>0</v>
      </c>
      <c r="AD252" s="5">
        <v>0</v>
      </c>
      <c r="AE252" s="5">
        <v>2</v>
      </c>
      <c r="AF252" s="5">
        <v>24</v>
      </c>
      <c r="AG252" s="5">
        <v>2</v>
      </c>
      <c r="AH252" s="5">
        <v>0</v>
      </c>
      <c r="AI252" s="5">
        <v>10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18" t="s">
        <v>107</v>
      </c>
      <c r="AR252" s="5">
        <v>3</v>
      </c>
      <c r="AS252" s="5">
        <v>24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31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  <c r="BP252" s="8" t="s">
        <v>1471</v>
      </c>
      <c r="BU252" s="8" t="b">
        <v>1</v>
      </c>
      <c r="CL252" s="77" t="str">
        <f t="shared" si="6"/>
        <v>LetterExtSignaturelsig</v>
      </c>
    </row>
    <row r="253" spans="1:90">
      <c r="A253" s="76" t="str">
        <f t="shared" si="7"/>
        <v>List Alpha (al)</v>
      </c>
      <c r="B253" s="5"/>
      <c r="C253" s="5" t="s">
        <v>741</v>
      </c>
      <c r="D253" s="5" t="s">
        <v>1199</v>
      </c>
      <c r="E253" s="5" t="s">
        <v>219</v>
      </c>
      <c r="F253" s="5">
        <v>1</v>
      </c>
      <c r="G253" s="5" t="b">
        <v>0</v>
      </c>
      <c r="H253" s="5">
        <v>1</v>
      </c>
      <c r="I253" s="5" t="s">
        <v>74</v>
      </c>
      <c r="J253" s="5">
        <v>12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1</v>
      </c>
      <c r="Y253" s="5" t="b">
        <v>0</v>
      </c>
      <c r="Z253" s="5" t="b">
        <v>0</v>
      </c>
      <c r="AA253" s="5">
        <v>45.35</v>
      </c>
      <c r="AB253" s="5">
        <v>27.35</v>
      </c>
      <c r="AC253" s="5">
        <v>12</v>
      </c>
      <c r="AD253" s="5">
        <v>12</v>
      </c>
      <c r="AE253" s="5">
        <v>2</v>
      </c>
      <c r="AF253" s="5">
        <v>24</v>
      </c>
      <c r="AG253" s="5">
        <v>0</v>
      </c>
      <c r="AH253" s="5">
        <v>-18</v>
      </c>
      <c r="AI253" s="5">
        <v>10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1" t="s">
        <v>122</v>
      </c>
      <c r="AR253" s="5">
        <v>7</v>
      </c>
      <c r="AS253" s="5">
        <v>18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31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  <c r="BN253" s="8" t="s">
        <v>1469</v>
      </c>
      <c r="BO253" s="8" t="s">
        <v>1470</v>
      </c>
      <c r="CE253" s="8" t="b">
        <v>1</v>
      </c>
      <c r="CL253" s="77" t="str">
        <f t="shared" si="6"/>
        <v>ListAlphaal</v>
      </c>
    </row>
    <row r="254" spans="1:90">
      <c r="A254" s="76" t="str">
        <f t="shared" si="7"/>
        <v>List Alpha Subentry (asl)</v>
      </c>
      <c r="B254" s="5"/>
      <c r="C254" s="5" t="s">
        <v>742</v>
      </c>
      <c r="D254" s="5" t="s">
        <v>1200</v>
      </c>
      <c r="E254" s="5" t="s">
        <v>220</v>
      </c>
      <c r="F254" s="5">
        <v>1</v>
      </c>
      <c r="G254" s="5" t="b">
        <v>0</v>
      </c>
      <c r="H254" s="5">
        <v>1</v>
      </c>
      <c r="I254" s="5" t="s">
        <v>74</v>
      </c>
      <c r="J254" s="5">
        <v>12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1</v>
      </c>
      <c r="Y254" s="5" t="b">
        <v>0</v>
      </c>
      <c r="Z254" s="5" t="b">
        <v>0</v>
      </c>
      <c r="AA254" s="5">
        <v>54</v>
      </c>
      <c r="AB254" s="5">
        <v>27</v>
      </c>
      <c r="AC254" s="5">
        <v>12</v>
      </c>
      <c r="AD254" s="5">
        <v>12</v>
      </c>
      <c r="AE254" s="5">
        <v>2</v>
      </c>
      <c r="AF254" s="5">
        <v>24</v>
      </c>
      <c r="AG254" s="5">
        <v>0</v>
      </c>
      <c r="AH254" s="5">
        <v>0</v>
      </c>
      <c r="AI254" s="5">
        <v>10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1" t="s">
        <v>122</v>
      </c>
      <c r="AR254" s="5">
        <v>7</v>
      </c>
      <c r="AS254" s="5">
        <v>18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31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  <c r="BN254" s="8" t="s">
        <v>1469</v>
      </c>
      <c r="BO254" s="8" t="s">
        <v>1470</v>
      </c>
      <c r="CG254" s="8" t="b">
        <v>1</v>
      </c>
      <c r="CL254" s="77" t="str">
        <f t="shared" si="6"/>
        <v>ListAlphaSubentryasl</v>
      </c>
    </row>
    <row r="255" spans="1:90">
      <c r="A255" s="76" t="str">
        <f t="shared" si="7"/>
        <v>List Bullet (bl)</v>
      </c>
      <c r="B255" s="5"/>
      <c r="C255" s="5" t="s">
        <v>743</v>
      </c>
      <c r="D255" s="5" t="s">
        <v>1201</v>
      </c>
      <c r="E255" s="5" t="s">
        <v>221</v>
      </c>
      <c r="F255" s="5">
        <v>1</v>
      </c>
      <c r="G255" s="5" t="b">
        <v>0</v>
      </c>
      <c r="H255" s="5">
        <v>1</v>
      </c>
      <c r="I255" s="5" t="s">
        <v>74</v>
      </c>
      <c r="J255" s="5">
        <v>12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1</v>
      </c>
      <c r="Y255" s="5" t="b">
        <v>1</v>
      </c>
      <c r="Z255" s="5" t="b">
        <v>0</v>
      </c>
      <c r="AA255" s="5">
        <v>45.35</v>
      </c>
      <c r="AB255" s="5">
        <v>27.35</v>
      </c>
      <c r="AC255" s="5">
        <v>12</v>
      </c>
      <c r="AD255" s="5">
        <v>12</v>
      </c>
      <c r="AE255" s="5">
        <v>2</v>
      </c>
      <c r="AF255" s="5">
        <v>24</v>
      </c>
      <c r="AG255" s="5">
        <v>0</v>
      </c>
      <c r="AH255" s="5">
        <v>-18</v>
      </c>
      <c r="AI255" s="5">
        <v>10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1" t="s">
        <v>122</v>
      </c>
      <c r="AR255" s="5">
        <v>2</v>
      </c>
      <c r="AS255" s="5">
        <v>48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31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2</v>
      </c>
      <c r="BM255" s="5" t="b">
        <v>0</v>
      </c>
      <c r="BN255" s="8" t="s">
        <v>1469</v>
      </c>
      <c r="BO255" s="8" t="s">
        <v>1206</v>
      </c>
      <c r="CD255" s="8" t="b">
        <v>1</v>
      </c>
      <c r="CL255" s="77" t="str">
        <f t="shared" si="6"/>
        <v>ListBulletbl</v>
      </c>
    </row>
    <row r="256" spans="1:90">
      <c r="A256" s="76" t="str">
        <f t="shared" si="7"/>
        <v>List Bullet Subentry (bsl)</v>
      </c>
      <c r="B256" s="5"/>
      <c r="C256" s="5" t="s">
        <v>744</v>
      </c>
      <c r="D256" s="5" t="s">
        <v>1202</v>
      </c>
      <c r="E256" s="5" t="s">
        <v>222</v>
      </c>
      <c r="F256" s="5">
        <v>1</v>
      </c>
      <c r="G256" s="5" t="b">
        <v>0</v>
      </c>
      <c r="H256" s="5">
        <v>1</v>
      </c>
      <c r="I256" s="5" t="s">
        <v>74</v>
      </c>
      <c r="J256" s="5">
        <v>12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1</v>
      </c>
      <c r="Y256" s="5" t="b">
        <v>1</v>
      </c>
      <c r="Z256" s="5" t="b">
        <v>0</v>
      </c>
      <c r="AA256" s="5">
        <v>72</v>
      </c>
      <c r="AB256" s="5">
        <v>27.35</v>
      </c>
      <c r="AC256" s="5">
        <v>12</v>
      </c>
      <c r="AD256" s="5">
        <v>12</v>
      </c>
      <c r="AE256" s="5">
        <v>2</v>
      </c>
      <c r="AF256" s="5">
        <v>24</v>
      </c>
      <c r="AG256" s="5">
        <v>0</v>
      </c>
      <c r="AH256" s="5">
        <v>-18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1" t="s">
        <v>122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31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1</v>
      </c>
      <c r="BM256" s="5" t="b">
        <v>0</v>
      </c>
      <c r="BN256" s="8" t="s">
        <v>1469</v>
      </c>
      <c r="BO256" s="8" t="s">
        <v>1206</v>
      </c>
      <c r="CF256" s="8" t="b">
        <v>1</v>
      </c>
      <c r="CL256" s="77" t="str">
        <f t="shared" si="6"/>
        <v>ListBulletSubentrybsl</v>
      </c>
    </row>
    <row r="257" spans="1:90">
      <c r="A257" s="76" t="str">
        <f t="shared" si="7"/>
        <v>List Head (lh)</v>
      </c>
      <c r="B257" s="5"/>
      <c r="C257" s="5" t="s">
        <v>745</v>
      </c>
      <c r="D257" s="5" t="s">
        <v>1203</v>
      </c>
      <c r="E257" s="5" t="s">
        <v>223</v>
      </c>
      <c r="F257" s="5">
        <v>1</v>
      </c>
      <c r="G257" s="5" t="b">
        <v>0</v>
      </c>
      <c r="H257" s="5">
        <v>1</v>
      </c>
      <c r="I257" s="5" t="s">
        <v>4</v>
      </c>
      <c r="J257" s="5">
        <v>11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27</v>
      </c>
      <c r="AB257" s="5">
        <v>0</v>
      </c>
      <c r="AC257" s="5">
        <v>0</v>
      </c>
      <c r="AD257" s="5">
        <v>10</v>
      </c>
      <c r="AE257" s="5">
        <v>2</v>
      </c>
      <c r="AF257" s="5">
        <v>24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1" t="s">
        <v>122</v>
      </c>
      <c r="AR257" s="5">
        <v>15</v>
      </c>
      <c r="AS257" s="5">
        <v>36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31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  <c r="CL257" s="77" t="str">
        <f t="shared" si="6"/>
        <v>ListHeadlh</v>
      </c>
    </row>
    <row r="258" spans="1:90">
      <c r="A258" s="76" t="str">
        <f t="shared" si="7"/>
        <v>List Num (nl)</v>
      </c>
      <c r="B258" s="5"/>
      <c r="C258" s="5" t="s">
        <v>746</v>
      </c>
      <c r="D258" s="5" t="s">
        <v>1204</v>
      </c>
      <c r="E258" s="5" t="s">
        <v>224</v>
      </c>
      <c r="F258" s="5">
        <v>1</v>
      </c>
      <c r="G258" s="5" t="b">
        <v>0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6" t="s">
        <v>68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1</v>
      </c>
      <c r="Y258" s="5" t="b">
        <v>0</v>
      </c>
      <c r="Z258" s="5" t="b">
        <v>0</v>
      </c>
      <c r="AA258" s="5">
        <v>45.35</v>
      </c>
      <c r="AB258" s="5">
        <v>27.35</v>
      </c>
      <c r="AC258" s="5">
        <v>12</v>
      </c>
      <c r="AD258" s="5">
        <v>12</v>
      </c>
      <c r="AE258" s="5">
        <v>2</v>
      </c>
      <c r="AF258" s="5">
        <v>24</v>
      </c>
      <c r="AG258" s="5">
        <v>0</v>
      </c>
      <c r="AH258" s="5">
        <v>-18</v>
      </c>
      <c r="AI258" s="5">
        <v>10</v>
      </c>
      <c r="AJ258" s="5" t="b">
        <v>0</v>
      </c>
      <c r="AK258" s="5" t="b">
        <v>0</v>
      </c>
      <c r="AL258" s="5" t="b">
        <v>0</v>
      </c>
      <c r="AM258" s="6" t="s">
        <v>68</v>
      </c>
      <c r="AN258" s="5">
        <v>0</v>
      </c>
      <c r="AO258" s="5">
        <v>6</v>
      </c>
      <c r="AP258" s="5" t="b">
        <v>1</v>
      </c>
      <c r="AQ258" s="21" t="s">
        <v>122</v>
      </c>
      <c r="AR258" s="5">
        <v>1</v>
      </c>
      <c r="AS258" s="5">
        <v>48</v>
      </c>
      <c r="AT258" s="5" t="b">
        <v>0</v>
      </c>
      <c r="AU258" s="6" t="s">
        <v>68</v>
      </c>
      <c r="AV258" s="5">
        <v>0</v>
      </c>
      <c r="AW258" s="5">
        <v>6</v>
      </c>
      <c r="AX258" s="5" t="b">
        <v>0</v>
      </c>
      <c r="AY258" s="6" t="s">
        <v>68</v>
      </c>
      <c r="AZ258" s="5">
        <v>0</v>
      </c>
      <c r="BA258" s="5">
        <v>6</v>
      </c>
      <c r="BB258" s="5">
        <v>31</v>
      </c>
      <c r="BC258" s="5">
        <v>4</v>
      </c>
      <c r="BD258" s="5">
        <v>1</v>
      </c>
      <c r="BE258" s="5">
        <v>1</v>
      </c>
      <c r="BF258" s="6" t="s">
        <v>68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  <c r="BN258" s="8" t="s">
        <v>1469</v>
      </c>
      <c r="BO258" s="8" t="s">
        <v>1470</v>
      </c>
      <c r="CE258" s="8" t="b">
        <v>1</v>
      </c>
      <c r="CL258" s="77" t="str">
        <f t="shared" si="6"/>
        <v>ListNumnl</v>
      </c>
    </row>
    <row r="259" spans="1:90">
      <c r="A259" s="76" t="str">
        <f t="shared" si="7"/>
        <v>List Num Subentry (nsl)</v>
      </c>
      <c r="B259" s="5"/>
      <c r="C259" s="5" t="s">
        <v>747</v>
      </c>
      <c r="D259" s="5" t="s">
        <v>1205</v>
      </c>
      <c r="E259" s="5" t="s">
        <v>225</v>
      </c>
      <c r="F259" s="5">
        <v>1</v>
      </c>
      <c r="G259" s="5" t="b">
        <v>0</v>
      </c>
      <c r="H259" s="5">
        <v>1</v>
      </c>
      <c r="I259" s="5" t="s">
        <v>74</v>
      </c>
      <c r="J259" s="5">
        <v>12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1</v>
      </c>
      <c r="Y259" s="5" t="b">
        <v>0</v>
      </c>
      <c r="Z259" s="5" t="b">
        <v>0</v>
      </c>
      <c r="AA259" s="5">
        <v>72</v>
      </c>
      <c r="AB259" s="5">
        <v>27.35</v>
      </c>
      <c r="AC259" s="5">
        <v>12</v>
      </c>
      <c r="AD259" s="5">
        <v>12</v>
      </c>
      <c r="AE259" s="5">
        <v>2</v>
      </c>
      <c r="AF259" s="5">
        <v>24</v>
      </c>
      <c r="AG259" s="5">
        <v>0</v>
      </c>
      <c r="AH259" s="5">
        <v>-18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1" t="s">
        <v>122</v>
      </c>
      <c r="AR259" s="5">
        <v>1</v>
      </c>
      <c r="AS259" s="5">
        <v>48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31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  <c r="BN259" s="8" t="s">
        <v>1469</v>
      </c>
      <c r="BO259" s="8" t="s">
        <v>1470</v>
      </c>
      <c r="CG259" s="8" t="b">
        <v>1</v>
      </c>
      <c r="CL259" s="77" t="str">
        <f t="shared" si="6"/>
        <v>ListNumSubentrynsl</v>
      </c>
    </row>
    <row r="260" spans="1:90">
      <c r="A260" s="76" t="str">
        <f t="shared" si="7"/>
        <v>List Unnum (ul)</v>
      </c>
      <c r="B260" s="5"/>
      <c r="C260" s="5" t="s">
        <v>748</v>
      </c>
      <c r="D260" s="5" t="s">
        <v>1206</v>
      </c>
      <c r="E260" s="5" t="s">
        <v>226</v>
      </c>
      <c r="F260" s="5">
        <v>1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1</v>
      </c>
      <c r="Y260" s="5" t="b">
        <v>0</v>
      </c>
      <c r="Z260" s="5" t="b">
        <v>0</v>
      </c>
      <c r="AA260" s="5">
        <v>45.35</v>
      </c>
      <c r="AB260" s="5">
        <v>27.35</v>
      </c>
      <c r="AC260" s="5">
        <v>12</v>
      </c>
      <c r="AD260" s="5">
        <v>12</v>
      </c>
      <c r="AE260" s="5">
        <v>2</v>
      </c>
      <c r="AF260" s="5">
        <v>24</v>
      </c>
      <c r="AG260" s="5">
        <v>0</v>
      </c>
      <c r="AH260" s="5">
        <v>-18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21" t="s">
        <v>122</v>
      </c>
      <c r="AR260" s="5">
        <v>8</v>
      </c>
      <c r="AS260" s="5">
        <v>12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31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  <c r="CL260" s="77" t="str">
        <f t="shared" ref="CL260:CL321" si="8">SUBSTITUTE(SUBSTITUTE(SUBSTITUTE(SUBSTITUTE(A260, "(",""),")","")," ",""),"#","")</f>
        <v>ListUnnumul</v>
      </c>
    </row>
    <row r="261" spans="1:90">
      <c r="A261" s="76" t="str">
        <f t="shared" ref="A261:A322" si="9">IF($D261="","",TRIM($C261)&amp;" "&amp;CHAR(40)&amp;TRIM($D261)&amp;CHAR(41))</f>
        <v>List Unnum Subentry (usl)</v>
      </c>
      <c r="B261" s="5"/>
      <c r="C261" s="5" t="s">
        <v>749</v>
      </c>
      <c r="D261" s="5" t="s">
        <v>1207</v>
      </c>
      <c r="E261" s="5" t="s">
        <v>227</v>
      </c>
      <c r="F261" s="5">
        <v>1</v>
      </c>
      <c r="G261" s="5" t="b">
        <v>0</v>
      </c>
      <c r="H261" s="5">
        <v>1</v>
      </c>
      <c r="I261" s="5" t="s">
        <v>74</v>
      </c>
      <c r="J261" s="5">
        <v>12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1</v>
      </c>
      <c r="Y261" s="5" t="b">
        <v>0</v>
      </c>
      <c r="Z261" s="5" t="b">
        <v>0</v>
      </c>
      <c r="AA261" s="5">
        <v>72</v>
      </c>
      <c r="AB261" s="5">
        <v>27</v>
      </c>
      <c r="AC261" s="5">
        <v>12</v>
      </c>
      <c r="AD261" s="5">
        <v>12</v>
      </c>
      <c r="AE261" s="5">
        <v>2</v>
      </c>
      <c r="AF261" s="5">
        <v>24</v>
      </c>
      <c r="AG261" s="5">
        <v>0</v>
      </c>
      <c r="AH261" s="5">
        <v>-18</v>
      </c>
      <c r="AI261" s="5">
        <v>10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21" t="s">
        <v>122</v>
      </c>
      <c r="AR261" s="5">
        <v>8</v>
      </c>
      <c r="AS261" s="5">
        <v>12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31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  <c r="CL261" s="77" t="str">
        <f t="shared" si="8"/>
        <v>ListUnnumSubentryusl</v>
      </c>
    </row>
    <row r="262" spans="1:90">
      <c r="A262" s="76" t="str">
        <f t="shared" si="9"/>
        <v>Menu (menu)</v>
      </c>
      <c r="B262" s="5"/>
      <c r="C262" s="5" t="s">
        <v>750</v>
      </c>
      <c r="D262" s="5" t="s">
        <v>1208</v>
      </c>
      <c r="E262" s="5" t="s">
        <v>228</v>
      </c>
      <c r="F262" s="5">
        <v>1</v>
      </c>
      <c r="G262" s="5" t="b">
        <v>0</v>
      </c>
      <c r="H262" s="5">
        <v>1</v>
      </c>
      <c r="I262" s="5" t="s">
        <v>2</v>
      </c>
      <c r="J262" s="5">
        <v>11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27</v>
      </c>
      <c r="AB262" s="5">
        <v>0</v>
      </c>
      <c r="AC262" s="5">
        <v>0</v>
      </c>
      <c r="AD262" s="5">
        <v>10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26" t="s">
        <v>370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31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  <c r="CL262" s="77" t="str">
        <f t="shared" si="8"/>
        <v>Menumenu</v>
      </c>
    </row>
    <row r="263" spans="1:90">
      <c r="A263" s="76" t="str">
        <f t="shared" si="9"/>
        <v>Note Level-1 Subhead (n1)</v>
      </c>
      <c r="B263" s="5"/>
      <c r="C263" s="5" t="s">
        <v>751</v>
      </c>
      <c r="D263" s="5" t="s">
        <v>1209</v>
      </c>
      <c r="E263" s="5" t="s">
        <v>156</v>
      </c>
      <c r="F263" s="5">
        <v>1</v>
      </c>
      <c r="G263" s="5" t="b">
        <v>0</v>
      </c>
      <c r="H263" s="5">
        <v>1</v>
      </c>
      <c r="I263" s="5" t="s">
        <v>4</v>
      </c>
      <c r="J263" s="5">
        <v>16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0</v>
      </c>
      <c r="AB263" s="5">
        <v>0</v>
      </c>
      <c r="AC263" s="5">
        <v>18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5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34" t="s">
        <v>157</v>
      </c>
      <c r="AR263" s="5">
        <v>8</v>
      </c>
      <c r="AS263" s="5">
        <v>12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  <c r="CL263" s="77" t="str">
        <f t="shared" si="8"/>
        <v>NoteLevel-1Subheadn1</v>
      </c>
    </row>
    <row r="264" spans="1:90">
      <c r="A264" s="76" t="str">
        <f t="shared" si="9"/>
        <v>Note Level-2 Subhead (n2)</v>
      </c>
      <c r="B264" s="5"/>
      <c r="C264" s="5" t="s">
        <v>752</v>
      </c>
      <c r="D264" s="5" t="s">
        <v>1210</v>
      </c>
      <c r="E264" s="5" t="s">
        <v>156</v>
      </c>
      <c r="F264" s="5">
        <v>1</v>
      </c>
      <c r="G264" s="5" t="b">
        <v>0</v>
      </c>
      <c r="H264" s="5">
        <v>1</v>
      </c>
      <c r="I264" s="5" t="s">
        <v>2</v>
      </c>
      <c r="J264" s="5">
        <v>16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6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6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34" t="s">
        <v>157</v>
      </c>
      <c r="AR264" s="5">
        <v>15</v>
      </c>
      <c r="AS264" s="5">
        <v>36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  <c r="CL264" s="77" t="str">
        <f t="shared" si="8"/>
        <v>NoteLevel-2Subheadn2</v>
      </c>
    </row>
    <row r="265" spans="1:90">
      <c r="A265" s="76" t="str">
        <f t="shared" si="9"/>
        <v>Note Level-3 Subhead (n3)</v>
      </c>
      <c r="B265" s="5"/>
      <c r="C265" s="5" t="s">
        <v>753</v>
      </c>
      <c r="D265" s="5" t="s">
        <v>1211</v>
      </c>
      <c r="E265" s="5" t="s">
        <v>156</v>
      </c>
      <c r="F265" s="5">
        <v>1</v>
      </c>
      <c r="G265" s="5" t="b">
        <v>0</v>
      </c>
      <c r="H265" s="5">
        <v>1</v>
      </c>
      <c r="I265" s="5" t="s">
        <v>84</v>
      </c>
      <c r="J265" s="5">
        <v>16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18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7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34" t="s">
        <v>157</v>
      </c>
      <c r="AR265" s="5">
        <v>16</v>
      </c>
      <c r="AS265" s="5">
        <v>36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  <c r="CL265" s="77" t="str">
        <f t="shared" si="8"/>
        <v>NoteLevel-3Subheadn3</v>
      </c>
    </row>
    <row r="266" spans="1:90">
      <c r="A266" s="76" t="str">
        <f t="shared" si="9"/>
        <v>Note Level-4 Subhead (n4)</v>
      </c>
      <c r="B266" s="5"/>
      <c r="C266" s="5" t="s">
        <v>754</v>
      </c>
      <c r="D266" s="5" t="s">
        <v>1212</v>
      </c>
      <c r="E266" s="5" t="s">
        <v>156</v>
      </c>
      <c r="F266" s="5">
        <v>1</v>
      </c>
      <c r="G266" s="5" t="b">
        <v>0</v>
      </c>
      <c r="H266" s="5">
        <v>1</v>
      </c>
      <c r="I266" s="5" t="s">
        <v>4</v>
      </c>
      <c r="J266" s="5">
        <v>14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0</v>
      </c>
      <c r="Y266" s="5" t="b">
        <v>0</v>
      </c>
      <c r="Z266" s="5" t="b">
        <v>0</v>
      </c>
      <c r="AA266" s="5">
        <v>0</v>
      </c>
      <c r="AB266" s="5">
        <v>0</v>
      </c>
      <c r="AC266" s="5">
        <v>18</v>
      </c>
      <c r="AD266" s="5">
        <v>0</v>
      </c>
      <c r="AE266" s="5">
        <v>2</v>
      </c>
      <c r="AF266" s="5">
        <v>24</v>
      </c>
      <c r="AG266" s="5">
        <v>0</v>
      </c>
      <c r="AH266" s="5">
        <v>0</v>
      </c>
      <c r="AI266" s="5">
        <v>8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34" t="s">
        <v>157</v>
      </c>
      <c r="AR266" s="5">
        <v>18</v>
      </c>
      <c r="AS266" s="5">
        <v>12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4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  <c r="CL266" s="77" t="str">
        <f t="shared" si="8"/>
        <v>NoteLevel-4Subheadn4</v>
      </c>
    </row>
    <row r="267" spans="1:90">
      <c r="A267" s="76" t="str">
        <f t="shared" si="9"/>
        <v>Note Level-5 Subhead (n5)</v>
      </c>
      <c r="B267" s="5"/>
      <c r="C267" s="5" t="s">
        <v>755</v>
      </c>
      <c r="D267" s="5" t="s">
        <v>1213</v>
      </c>
      <c r="E267" s="5" t="s">
        <v>156</v>
      </c>
      <c r="F267" s="5">
        <v>1</v>
      </c>
      <c r="G267" s="5" t="b">
        <v>0</v>
      </c>
      <c r="H267" s="5">
        <v>1</v>
      </c>
      <c r="I267" s="5" t="s">
        <v>2</v>
      </c>
      <c r="J267" s="5">
        <v>14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18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9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4" t="s">
        <v>157</v>
      </c>
      <c r="AR267" s="5">
        <v>19</v>
      </c>
      <c r="AS267" s="5">
        <v>6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  <c r="CL267" s="77" t="str">
        <f t="shared" si="8"/>
        <v>NoteLevel-5Subheadn5</v>
      </c>
    </row>
    <row r="268" spans="1:90">
      <c r="A268" s="76" t="str">
        <f t="shared" si="9"/>
        <v>Numbered Paragraphs (np)</v>
      </c>
      <c r="B268" s="5"/>
      <c r="C268" s="5" t="s">
        <v>756</v>
      </c>
      <c r="D268" s="5" t="s">
        <v>1214</v>
      </c>
      <c r="E268" s="5" t="s">
        <v>229</v>
      </c>
      <c r="F268" s="5">
        <v>1</v>
      </c>
      <c r="G268" s="5" t="b">
        <v>0</v>
      </c>
      <c r="H268" s="5">
        <v>1</v>
      </c>
      <c r="I268" s="5" t="s">
        <v>74</v>
      </c>
      <c r="J268" s="5">
        <v>12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45</v>
      </c>
      <c r="AB268" s="5">
        <v>27</v>
      </c>
      <c r="AC268" s="5">
        <v>6</v>
      </c>
      <c r="AD268" s="5">
        <v>0</v>
      </c>
      <c r="AE268" s="5">
        <v>2</v>
      </c>
      <c r="AF268" s="5">
        <v>24</v>
      </c>
      <c r="AG268" s="5">
        <v>0</v>
      </c>
      <c r="AH268" s="5">
        <v>-18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21" t="s">
        <v>122</v>
      </c>
      <c r="AR268" s="5">
        <v>18</v>
      </c>
      <c r="AS268" s="5">
        <v>12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  <c r="CL268" s="77" t="str">
        <f t="shared" si="8"/>
        <v>NumberedParagraphsnp</v>
      </c>
    </row>
    <row r="269" spans="1:90">
      <c r="A269" s="76" t="str">
        <f t="shared" si="9"/>
        <v>Page Break (pb)</v>
      </c>
      <c r="B269" s="5"/>
      <c r="C269" s="5" t="s">
        <v>757</v>
      </c>
      <c r="D269" s="5" t="s">
        <v>1215</v>
      </c>
      <c r="E269" s="5" t="s">
        <v>1455</v>
      </c>
      <c r="F269" s="5">
        <v>1</v>
      </c>
      <c r="G269" s="5" t="b">
        <v>1</v>
      </c>
      <c r="H269" s="5">
        <v>1</v>
      </c>
      <c r="I269" s="5" t="s">
        <v>74</v>
      </c>
      <c r="J269" s="5">
        <v>14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1</v>
      </c>
      <c r="T269" s="5" t="b">
        <v>1</v>
      </c>
      <c r="U269" s="5" t="b">
        <v>1</v>
      </c>
      <c r="V269" s="5" t="b">
        <v>0</v>
      </c>
      <c r="W269" s="70" t="s">
        <v>464</v>
      </c>
      <c r="X269" s="5" t="b">
        <v>0</v>
      </c>
      <c r="Y269" s="5" t="b">
        <v>0</v>
      </c>
      <c r="Z269" s="5" t="b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12</v>
      </c>
      <c r="AG269" s="5">
        <v>0</v>
      </c>
      <c r="AH269" s="5">
        <v>0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25" t="s">
        <v>374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4</v>
      </c>
      <c r="BC269" s="5">
        <v>4</v>
      </c>
      <c r="BD269" s="5">
        <v>1</v>
      </c>
      <c r="BE269" s="5">
        <v>1</v>
      </c>
      <c r="BF269" s="25" t="s">
        <v>374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  <c r="CL269" s="77" t="str">
        <f t="shared" si="8"/>
        <v>PageBreakpb</v>
      </c>
    </row>
    <row r="270" spans="1:90">
      <c r="A270" s="76" t="str">
        <f t="shared" si="9"/>
        <v>Part Contents Head (pch)</v>
      </c>
      <c r="B270" s="5"/>
      <c r="C270" s="5" t="s">
        <v>758</v>
      </c>
      <c r="D270" s="5" t="s">
        <v>1216</v>
      </c>
      <c r="E270" s="5" t="s">
        <v>230</v>
      </c>
      <c r="F270" s="5">
        <v>1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28" t="s">
        <v>137</v>
      </c>
      <c r="AR270" s="5">
        <v>16</v>
      </c>
      <c r="AS270" s="5">
        <v>36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4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  <c r="CL270" s="77" t="str">
        <f t="shared" si="8"/>
        <v>PartContentsHeadpch</v>
      </c>
    </row>
    <row r="271" spans="1:90">
      <c r="A271" s="76" t="str">
        <f t="shared" si="9"/>
        <v>Part Contents Main Head (pcmh)</v>
      </c>
      <c r="B271" s="5"/>
      <c r="C271" s="5" t="s">
        <v>759</v>
      </c>
      <c r="D271" s="5" t="s">
        <v>1217</v>
      </c>
      <c r="E271" s="5" t="s">
        <v>230</v>
      </c>
      <c r="F271" s="5">
        <v>1</v>
      </c>
      <c r="G271" s="5" t="b">
        <v>0</v>
      </c>
      <c r="H271" s="5">
        <v>1</v>
      </c>
      <c r="I271" s="5" t="s">
        <v>2</v>
      </c>
      <c r="J271" s="5">
        <v>12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2</v>
      </c>
      <c r="AF271" s="5">
        <v>24</v>
      </c>
      <c r="AG271" s="5">
        <v>0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28" t="s">
        <v>137</v>
      </c>
      <c r="AR271" s="5">
        <v>15</v>
      </c>
      <c r="AS271" s="5">
        <v>36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4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  <c r="CL271" s="77" t="str">
        <f t="shared" si="8"/>
        <v>PartContentsMainHeadpcmh</v>
      </c>
    </row>
    <row r="272" spans="1:90">
      <c r="A272" s="76" t="str">
        <f t="shared" si="9"/>
        <v>Part Epigraph - non-verse (pepi)</v>
      </c>
      <c r="B272" s="5"/>
      <c r="C272" s="5" t="s">
        <v>760</v>
      </c>
      <c r="D272" s="5" t="s">
        <v>1218</v>
      </c>
      <c r="E272" s="5" t="s">
        <v>231</v>
      </c>
      <c r="F272" s="5">
        <v>1</v>
      </c>
      <c r="G272" s="5" t="b">
        <v>0</v>
      </c>
      <c r="H272" s="5">
        <v>1</v>
      </c>
      <c r="I272" s="5" t="s">
        <v>2</v>
      </c>
      <c r="J272" s="5">
        <v>12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63.35</v>
      </c>
      <c r="AB272" s="5">
        <v>27.35</v>
      </c>
      <c r="AC272" s="5">
        <v>12</v>
      </c>
      <c r="AD272" s="5">
        <v>12</v>
      </c>
      <c r="AE272" s="5">
        <v>1</v>
      </c>
      <c r="AF272" s="5">
        <v>18</v>
      </c>
      <c r="AG272" s="5">
        <v>0</v>
      </c>
      <c r="AH272" s="5">
        <v>-36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28" t="s">
        <v>137</v>
      </c>
      <c r="AR272" s="5">
        <v>19</v>
      </c>
      <c r="AS272" s="5">
        <v>6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31</v>
      </c>
      <c r="BC272" s="5">
        <v>4</v>
      </c>
      <c r="BD272" s="5">
        <v>1</v>
      </c>
      <c r="BE272" s="5">
        <v>1</v>
      </c>
      <c r="BF272" s="6" t="s">
        <v>68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  <c r="BP272" s="8" t="s">
        <v>1471</v>
      </c>
      <c r="BQ272" s="8" t="s">
        <v>1476</v>
      </c>
      <c r="BV272" s="8" t="b">
        <v>1</v>
      </c>
      <c r="CL272" s="77" t="str">
        <f t="shared" si="8"/>
        <v>PartEpigraph-non-versepepi</v>
      </c>
    </row>
    <row r="273" spans="1:90">
      <c r="A273" s="76" t="str">
        <f t="shared" si="9"/>
        <v>Part Epigraph - verse (pepiv)</v>
      </c>
      <c r="B273" s="5"/>
      <c r="C273" s="5" t="s">
        <v>761</v>
      </c>
      <c r="D273" s="5" t="s">
        <v>1219</v>
      </c>
      <c r="E273" s="5" t="s">
        <v>232</v>
      </c>
      <c r="F273" s="5">
        <v>1</v>
      </c>
      <c r="G273" s="5" t="b">
        <v>0</v>
      </c>
      <c r="H273" s="5">
        <v>1</v>
      </c>
      <c r="I273" s="5" t="s">
        <v>2</v>
      </c>
      <c r="J273" s="5">
        <v>12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27</v>
      </c>
      <c r="AB273" s="5">
        <v>27</v>
      </c>
      <c r="AC273" s="5">
        <v>0</v>
      </c>
      <c r="AD273" s="5">
        <v>0</v>
      </c>
      <c r="AE273" s="5">
        <v>2</v>
      </c>
      <c r="AF273" s="5">
        <v>24</v>
      </c>
      <c r="AG273" s="5">
        <v>0</v>
      </c>
      <c r="AH273" s="5">
        <v>0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28" t="s">
        <v>137</v>
      </c>
      <c r="AR273" s="5">
        <v>19</v>
      </c>
      <c r="AS273" s="5">
        <v>6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  <c r="BP273" s="8" t="s">
        <v>1471</v>
      </c>
      <c r="BQ273" s="8" t="s">
        <v>1476</v>
      </c>
      <c r="BV273" s="8" t="b">
        <v>1</v>
      </c>
      <c r="CL273" s="77" t="str">
        <f t="shared" si="8"/>
        <v>PartEpigraph-versepepiv</v>
      </c>
    </row>
    <row r="274" spans="1:90">
      <c r="A274" s="76" t="str">
        <f t="shared" si="9"/>
        <v>Part Epigraph Source (peps)</v>
      </c>
      <c r="B274" s="5"/>
      <c r="C274" s="5" t="s">
        <v>762</v>
      </c>
      <c r="D274" s="5" t="s">
        <v>1220</v>
      </c>
      <c r="E274" s="5" t="s">
        <v>235</v>
      </c>
      <c r="F274" s="5">
        <v>1</v>
      </c>
      <c r="G274" s="5" t="b">
        <v>0</v>
      </c>
      <c r="H274" s="5">
        <v>1</v>
      </c>
      <c r="I274" s="5" t="s">
        <v>74</v>
      </c>
      <c r="J274" s="5">
        <v>12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2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28" t="s">
        <v>137</v>
      </c>
      <c r="AR274" s="5">
        <v>3</v>
      </c>
      <c r="AS274" s="5">
        <v>24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  <c r="BP274" s="8" t="s">
        <v>1471</v>
      </c>
      <c r="BQ274" s="8" t="s">
        <v>1476</v>
      </c>
      <c r="BV274" s="8" t="b">
        <v>1</v>
      </c>
      <c r="CL274" s="77" t="str">
        <f t="shared" si="8"/>
        <v>PartEpigraphSourcepeps</v>
      </c>
    </row>
    <row r="275" spans="1:90">
      <c r="A275" s="76" t="str">
        <f t="shared" si="9"/>
        <v>Part Number (pn)</v>
      </c>
      <c r="B275" s="5"/>
      <c r="C275" s="5" t="s">
        <v>763</v>
      </c>
      <c r="D275" s="5" t="s">
        <v>1221</v>
      </c>
      <c r="E275" s="5" t="s">
        <v>236</v>
      </c>
      <c r="F275" s="5">
        <v>1</v>
      </c>
      <c r="G275" s="5" t="b">
        <v>0</v>
      </c>
      <c r="H275" s="5">
        <v>1</v>
      </c>
      <c r="I275" s="5" t="s">
        <v>4</v>
      </c>
      <c r="J275" s="5">
        <v>18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0</v>
      </c>
      <c r="AB275" s="5">
        <v>0</v>
      </c>
      <c r="AC275" s="5">
        <v>36</v>
      </c>
      <c r="AD275" s="5">
        <v>10</v>
      </c>
      <c r="AE275" s="5">
        <v>2</v>
      </c>
      <c r="AF275" s="5">
        <v>24</v>
      </c>
      <c r="AG275" s="5">
        <v>1</v>
      </c>
      <c r="AH275" s="5">
        <v>0</v>
      </c>
      <c r="AI275" s="5">
        <v>2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28" t="s">
        <v>137</v>
      </c>
      <c r="AR275" s="5">
        <v>2</v>
      </c>
      <c r="AS275" s="5">
        <v>48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4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  <c r="BN275" s="8" t="s">
        <v>1171</v>
      </c>
      <c r="BT275" s="8" t="b">
        <v>1</v>
      </c>
      <c r="CL275" s="77" t="str">
        <f t="shared" si="8"/>
        <v>PartNumberpn</v>
      </c>
    </row>
    <row r="276" spans="1:90">
      <c r="A276" s="76" t="str">
        <f t="shared" si="9"/>
        <v>Part Opening Text (potx)</v>
      </c>
      <c r="B276" s="5"/>
      <c r="C276" s="5" t="s">
        <v>764</v>
      </c>
      <c r="D276" s="5" t="s">
        <v>1222</v>
      </c>
      <c r="E276" s="5" t="s">
        <v>233</v>
      </c>
      <c r="F276" s="5">
        <v>1</v>
      </c>
      <c r="G276" s="5" t="b">
        <v>0</v>
      </c>
      <c r="H276" s="5">
        <v>1</v>
      </c>
      <c r="I276" s="5" t="s">
        <v>74</v>
      </c>
      <c r="J276" s="5">
        <v>12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0</v>
      </c>
      <c r="AB276" s="5">
        <v>0</v>
      </c>
      <c r="AC276" s="5">
        <v>0</v>
      </c>
      <c r="AD276" s="5">
        <v>0</v>
      </c>
      <c r="AE276" s="5">
        <v>2</v>
      </c>
      <c r="AF276" s="5">
        <v>24</v>
      </c>
      <c r="AG276" s="5">
        <v>0</v>
      </c>
      <c r="AH276" s="5">
        <v>36</v>
      </c>
      <c r="AI276" s="5">
        <v>10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28" t="s">
        <v>137</v>
      </c>
      <c r="AR276" s="5">
        <v>1</v>
      </c>
      <c r="AS276" s="5">
        <v>48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4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  <c r="CL276" s="77" t="str">
        <f t="shared" si="8"/>
        <v>PartOpeningTextpotx</v>
      </c>
    </row>
    <row r="277" spans="1:90">
      <c r="A277" s="76" t="str">
        <f t="shared" si="9"/>
        <v>Part Opening Text No-Indent (potx1)</v>
      </c>
      <c r="B277" s="5"/>
      <c r="C277" s="5" t="s">
        <v>765</v>
      </c>
      <c r="D277" s="5" t="s">
        <v>1223</v>
      </c>
      <c r="E277" s="5" t="s">
        <v>233</v>
      </c>
      <c r="F277" s="5">
        <v>1</v>
      </c>
      <c r="G277" s="5" t="b">
        <v>0</v>
      </c>
      <c r="H277" s="5">
        <v>1</v>
      </c>
      <c r="I277" s="5" t="s">
        <v>74</v>
      </c>
      <c r="J277" s="5">
        <v>12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2</v>
      </c>
      <c r="AF277" s="5">
        <v>24</v>
      </c>
      <c r="AG277" s="5">
        <v>0</v>
      </c>
      <c r="AH277" s="5">
        <v>0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28" t="s">
        <v>137</v>
      </c>
      <c r="AR277" s="5">
        <v>7</v>
      </c>
      <c r="AS277" s="5">
        <v>18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4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  <c r="CL277" s="77" t="str">
        <f t="shared" si="8"/>
        <v>PartOpeningTextNo-Indentpotx1</v>
      </c>
    </row>
    <row r="278" spans="1:90">
      <c r="A278" s="76" t="str">
        <f t="shared" si="9"/>
        <v>Part Ornament (porn)</v>
      </c>
      <c r="B278" s="5"/>
      <c r="C278" s="5" t="s">
        <v>766</v>
      </c>
      <c r="D278" s="5" t="s">
        <v>1224</v>
      </c>
      <c r="E278" s="5" t="s">
        <v>233</v>
      </c>
      <c r="F278" s="5">
        <v>1</v>
      </c>
      <c r="G278" s="5" t="b">
        <v>0</v>
      </c>
      <c r="H278" s="5">
        <v>1</v>
      </c>
      <c r="I278" s="5" t="s">
        <v>2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0</v>
      </c>
      <c r="Y278" s="5" t="b">
        <v>0</v>
      </c>
      <c r="Z278" s="5" t="b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12</v>
      </c>
      <c r="AG278" s="5">
        <v>1</v>
      </c>
      <c r="AH278" s="5">
        <v>0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8" t="s">
        <v>137</v>
      </c>
      <c r="AR278" s="5">
        <v>1</v>
      </c>
      <c r="AS278" s="5">
        <v>48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4</v>
      </c>
      <c r="BC278" s="5">
        <v>4</v>
      </c>
      <c r="BD278" s="5">
        <v>1</v>
      </c>
      <c r="BE278" s="5">
        <v>1</v>
      </c>
      <c r="BF278" s="25" t="s">
        <v>374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  <c r="CL278" s="77" t="str">
        <f t="shared" si="8"/>
        <v>PartOrnamentporn</v>
      </c>
    </row>
    <row r="279" spans="1:90">
      <c r="A279" s="76" t="str">
        <f t="shared" si="9"/>
        <v>Part Ornament ALT (porn2)</v>
      </c>
      <c r="B279" s="5"/>
      <c r="C279" s="5" t="s">
        <v>767</v>
      </c>
      <c r="D279" s="5" t="s">
        <v>1225</v>
      </c>
      <c r="E279" s="5" t="s">
        <v>233</v>
      </c>
      <c r="F279" s="5">
        <v>1</v>
      </c>
      <c r="G279" s="5" t="b">
        <v>0</v>
      </c>
      <c r="H279" s="5">
        <v>1</v>
      </c>
      <c r="I279" s="5" t="s">
        <v>2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0</v>
      </c>
      <c r="Y279" s="5" t="b">
        <v>0</v>
      </c>
      <c r="Z279" s="5" t="b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12</v>
      </c>
      <c r="AG279" s="5">
        <v>1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8" t="s">
        <v>137</v>
      </c>
      <c r="AR279" s="5">
        <v>7</v>
      </c>
      <c r="AS279" s="5">
        <v>18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4</v>
      </c>
      <c r="BC279" s="5">
        <v>4</v>
      </c>
      <c r="BD279" s="5">
        <v>1</v>
      </c>
      <c r="BE279" s="5">
        <v>1</v>
      </c>
      <c r="BF279" s="25" t="s">
        <v>374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  <c r="CL279" s="77" t="str">
        <f t="shared" si="8"/>
        <v>PartOrnamentALTporn2</v>
      </c>
    </row>
    <row r="280" spans="1:90">
      <c r="A280" s="76" t="str">
        <f t="shared" si="9"/>
        <v>Part Subtitle (pst)</v>
      </c>
      <c r="B280" s="5"/>
      <c r="C280" s="5" t="s">
        <v>768</v>
      </c>
      <c r="D280" s="5" t="s">
        <v>1226</v>
      </c>
      <c r="E280" s="5" t="s">
        <v>233</v>
      </c>
      <c r="F280" s="5">
        <v>1</v>
      </c>
      <c r="G280" s="5" t="b">
        <v>0</v>
      </c>
      <c r="H280" s="5">
        <v>1</v>
      </c>
      <c r="I280" s="5" t="s">
        <v>74</v>
      </c>
      <c r="J280" s="5">
        <v>18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0</v>
      </c>
      <c r="Y280" s="5" t="b">
        <v>0</v>
      </c>
      <c r="Z280" s="5" t="b">
        <v>0</v>
      </c>
      <c r="AA280" s="5">
        <v>0</v>
      </c>
      <c r="AB280" s="5">
        <v>0</v>
      </c>
      <c r="AC280" s="5">
        <v>0</v>
      </c>
      <c r="AD280" s="5">
        <v>10</v>
      </c>
      <c r="AE280" s="5">
        <v>2</v>
      </c>
      <c r="AF280" s="5">
        <v>24</v>
      </c>
      <c r="AG280" s="5">
        <v>1</v>
      </c>
      <c r="AH280" s="5">
        <v>0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8" t="s">
        <v>137</v>
      </c>
      <c r="AR280" s="5">
        <v>1</v>
      </c>
      <c r="AS280" s="5">
        <v>18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4</v>
      </c>
      <c r="BC280" s="5">
        <v>4</v>
      </c>
      <c r="BD280" s="5">
        <v>1</v>
      </c>
      <c r="BE280" s="5">
        <v>1</v>
      </c>
      <c r="BF280" s="6" t="s">
        <v>68</v>
      </c>
      <c r="BG280" s="6"/>
      <c r="BH280" s="5"/>
      <c r="BI280" s="5"/>
      <c r="BJ280" s="6"/>
      <c r="BK280" s="5" t="s">
        <v>1</v>
      </c>
      <c r="BL280" s="5">
        <v>0</v>
      </c>
      <c r="BM280" s="5" t="b">
        <v>0</v>
      </c>
      <c r="CL280" s="77" t="str">
        <f t="shared" si="8"/>
        <v>PartSubtitlepst</v>
      </c>
    </row>
    <row r="281" spans="1:90">
      <c r="A281" s="76" t="str">
        <f t="shared" si="9"/>
        <v>Part Title (pt)</v>
      </c>
      <c r="B281" s="5"/>
      <c r="C281" s="5" t="s">
        <v>769</v>
      </c>
      <c r="D281" s="5" t="s">
        <v>1227</v>
      </c>
      <c r="E281" s="5" t="s">
        <v>233</v>
      </c>
      <c r="F281" s="5">
        <v>1</v>
      </c>
      <c r="G281" s="5" t="b">
        <v>0</v>
      </c>
      <c r="H281" s="5">
        <v>1</v>
      </c>
      <c r="I281" s="5" t="s">
        <v>2</v>
      </c>
      <c r="J281" s="5">
        <v>24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0</v>
      </c>
      <c r="Y281" s="5" t="b">
        <v>0</v>
      </c>
      <c r="Z281" s="5" t="b">
        <v>0</v>
      </c>
      <c r="AA281" s="5">
        <v>0</v>
      </c>
      <c r="AB281" s="5">
        <v>0</v>
      </c>
      <c r="AC281" s="5">
        <v>0</v>
      </c>
      <c r="AD281" s="5">
        <v>10</v>
      </c>
      <c r="AE281" s="5">
        <v>2</v>
      </c>
      <c r="AF281" s="5">
        <v>24</v>
      </c>
      <c r="AG281" s="5">
        <v>1</v>
      </c>
      <c r="AH281" s="5">
        <v>0</v>
      </c>
      <c r="AI281" s="5">
        <v>2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28" t="s">
        <v>137</v>
      </c>
      <c r="AR281" s="5">
        <v>8</v>
      </c>
      <c r="AS281" s="5">
        <v>12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4</v>
      </c>
      <c r="BC281" s="5">
        <v>4</v>
      </c>
      <c r="BD281" s="5">
        <v>1</v>
      </c>
      <c r="BE281" s="5">
        <v>1</v>
      </c>
      <c r="BF281" s="6" t="s">
        <v>68</v>
      </c>
      <c r="BG281" s="6"/>
      <c r="BH281" s="5"/>
      <c r="BI281" s="5"/>
      <c r="BJ281" s="6"/>
      <c r="BK281" s="5" t="s">
        <v>1</v>
      </c>
      <c r="BL281" s="5">
        <v>0</v>
      </c>
      <c r="BM281" s="5" t="b">
        <v>0</v>
      </c>
      <c r="BN281" s="8" t="s">
        <v>1171</v>
      </c>
      <c r="BT281" s="8" t="b">
        <v>1</v>
      </c>
      <c r="CL281" s="77" t="str">
        <f t="shared" si="8"/>
        <v>PartTitlept</v>
      </c>
    </row>
    <row r="282" spans="1:90">
      <c r="A282" s="76" t="str">
        <f t="shared" si="9"/>
        <v>Permission Acks Text (pmtx)</v>
      </c>
      <c r="B282" s="5"/>
      <c r="C282" s="5" t="s">
        <v>770</v>
      </c>
      <c r="D282" s="5" t="s">
        <v>1228</v>
      </c>
      <c r="E282" s="5" t="s">
        <v>237</v>
      </c>
      <c r="F282" s="5">
        <v>1</v>
      </c>
      <c r="G282" s="5" t="b">
        <v>0</v>
      </c>
      <c r="H282" s="5">
        <v>1</v>
      </c>
      <c r="I282" s="5" t="s">
        <v>84</v>
      </c>
      <c r="J282" s="5">
        <v>10.5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0</v>
      </c>
      <c r="AB282" s="5">
        <v>0</v>
      </c>
      <c r="AC282" s="5">
        <v>0</v>
      </c>
      <c r="AD282" s="5">
        <v>10</v>
      </c>
      <c r="AE282" s="5">
        <v>5</v>
      </c>
      <c r="AF282" s="5">
        <v>13.8</v>
      </c>
      <c r="AG282" s="5">
        <v>0</v>
      </c>
      <c r="AH282" s="5">
        <v>36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2" t="s">
        <v>123</v>
      </c>
      <c r="AR282" s="5">
        <v>18</v>
      </c>
      <c r="AS282" s="5">
        <v>12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4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  <c r="CL282" s="77" t="str">
        <f t="shared" si="8"/>
        <v>PermissionAcksTextpmtx</v>
      </c>
    </row>
    <row r="283" spans="1:90">
      <c r="A283" s="76" t="str">
        <f t="shared" si="9"/>
        <v>Permission Acks Text No-Indent (pmtx1)</v>
      </c>
      <c r="B283" s="5"/>
      <c r="C283" s="5" t="s">
        <v>771</v>
      </c>
      <c r="D283" s="5" t="s">
        <v>1229</v>
      </c>
      <c r="E283" s="5" t="s">
        <v>237</v>
      </c>
      <c r="F283" s="5">
        <v>1</v>
      </c>
      <c r="G283" s="5" t="b">
        <v>0</v>
      </c>
      <c r="H283" s="5">
        <v>1</v>
      </c>
      <c r="I283" s="5" t="s">
        <v>84</v>
      </c>
      <c r="J283" s="5">
        <v>10.5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0</v>
      </c>
      <c r="Y283" s="5" t="b">
        <v>0</v>
      </c>
      <c r="Z283" s="5" t="b">
        <v>0</v>
      </c>
      <c r="AA283" s="5">
        <v>0</v>
      </c>
      <c r="AB283" s="5">
        <v>0</v>
      </c>
      <c r="AC283" s="5">
        <v>6</v>
      </c>
      <c r="AD283" s="5">
        <v>10</v>
      </c>
      <c r="AE283" s="5">
        <v>5</v>
      </c>
      <c r="AF283" s="5">
        <v>13.8</v>
      </c>
      <c r="AG283" s="5">
        <v>0</v>
      </c>
      <c r="AH283" s="5">
        <v>0</v>
      </c>
      <c r="AI283" s="5">
        <v>10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2" t="s">
        <v>123</v>
      </c>
      <c r="AR283" s="5">
        <v>19</v>
      </c>
      <c r="AS283" s="5">
        <v>6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4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  <c r="CL283" s="77" t="str">
        <f t="shared" si="8"/>
        <v>PermissionAcksTextNo-Indentpmtx1</v>
      </c>
    </row>
    <row r="284" spans="1:90">
      <c r="A284" s="76" t="str">
        <f t="shared" si="9"/>
        <v>Poem Dateline (vdl)</v>
      </c>
      <c r="B284" s="5"/>
      <c r="C284" s="5" t="s">
        <v>772</v>
      </c>
      <c r="D284" s="5" t="s">
        <v>1230</v>
      </c>
      <c r="E284" s="5" t="s">
        <v>333</v>
      </c>
      <c r="F284" s="5">
        <v>1</v>
      </c>
      <c r="G284" s="5" t="b">
        <v>0</v>
      </c>
      <c r="H284" s="5">
        <v>1</v>
      </c>
      <c r="I284" s="5" t="s">
        <v>144</v>
      </c>
      <c r="J284" s="5">
        <v>11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0</v>
      </c>
      <c r="Y284" s="5" t="b">
        <v>0</v>
      </c>
      <c r="Z284" s="5" t="b">
        <v>0</v>
      </c>
      <c r="AA284" s="5">
        <v>0</v>
      </c>
      <c r="AB284" s="5">
        <v>0</v>
      </c>
      <c r="AC284" s="5">
        <v>0</v>
      </c>
      <c r="AD284" s="5">
        <v>10</v>
      </c>
      <c r="AE284" s="5">
        <v>2</v>
      </c>
      <c r="AF284" s="5">
        <v>24</v>
      </c>
      <c r="AG284" s="5">
        <v>0</v>
      </c>
      <c r="AH284" s="5">
        <v>0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46" t="s">
        <v>238</v>
      </c>
      <c r="AR284" s="5">
        <v>1</v>
      </c>
      <c r="AS284" s="5">
        <v>8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4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  <c r="BW284" s="8" t="b">
        <v>1</v>
      </c>
      <c r="CL284" s="77" t="str">
        <f t="shared" si="8"/>
        <v>PoemDatelinevdl</v>
      </c>
    </row>
    <row r="285" spans="1:90">
      <c r="A285" s="76" t="str">
        <f t="shared" si="9"/>
        <v>Poem Dedication (vded)</v>
      </c>
      <c r="B285" s="5"/>
      <c r="C285" s="5" t="s">
        <v>773</v>
      </c>
      <c r="D285" s="5" t="s">
        <v>1231</v>
      </c>
      <c r="E285" s="5" t="s">
        <v>333</v>
      </c>
      <c r="F285" s="5">
        <v>1</v>
      </c>
      <c r="G285" s="5" t="b">
        <v>0</v>
      </c>
      <c r="H285" s="5">
        <v>1</v>
      </c>
      <c r="I285" s="5" t="s">
        <v>84</v>
      </c>
      <c r="J285" s="5">
        <v>10.5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0</v>
      </c>
      <c r="Y285" s="5" t="b">
        <v>0</v>
      </c>
      <c r="Z285" s="5" t="b">
        <v>0</v>
      </c>
      <c r="AA285" s="5">
        <v>36</v>
      </c>
      <c r="AB285" s="5">
        <v>36</v>
      </c>
      <c r="AC285" s="5">
        <v>0</v>
      </c>
      <c r="AD285" s="5">
        <v>10</v>
      </c>
      <c r="AE285" s="5">
        <v>2</v>
      </c>
      <c r="AF285" s="5">
        <v>24</v>
      </c>
      <c r="AG285" s="5">
        <v>1</v>
      </c>
      <c r="AH285" s="5">
        <v>0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46" t="s">
        <v>238</v>
      </c>
      <c r="AR285" s="5">
        <v>1</v>
      </c>
      <c r="AS285" s="5">
        <v>8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31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  <c r="BW285" s="8" t="b">
        <v>1</v>
      </c>
      <c r="CL285" s="77" t="str">
        <f t="shared" si="8"/>
        <v>PoemDedicationvded</v>
      </c>
    </row>
    <row r="286" spans="1:90">
      <c r="A286" s="76" t="str">
        <f t="shared" si="9"/>
        <v>Poem Epigraph - non-verse (vepi)</v>
      </c>
      <c r="B286" s="5"/>
      <c r="C286" s="5" t="s">
        <v>774</v>
      </c>
      <c r="D286" s="5" t="s">
        <v>1232</v>
      </c>
      <c r="E286" s="5" t="s">
        <v>239</v>
      </c>
      <c r="F286" s="5">
        <v>1</v>
      </c>
      <c r="G286" s="5" t="b">
        <v>0</v>
      </c>
      <c r="H286" s="5">
        <v>1</v>
      </c>
      <c r="I286" s="5" t="s">
        <v>2</v>
      </c>
      <c r="J286" s="5">
        <v>12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0</v>
      </c>
      <c r="Y286" s="5" t="b">
        <v>0</v>
      </c>
      <c r="Z286" s="5" t="b">
        <v>0</v>
      </c>
      <c r="AA286" s="5">
        <v>27.35</v>
      </c>
      <c r="AB286" s="5">
        <v>27.35</v>
      </c>
      <c r="AC286" s="5">
        <v>12</v>
      </c>
      <c r="AD286" s="5">
        <v>12</v>
      </c>
      <c r="AE286" s="5">
        <v>1</v>
      </c>
      <c r="AF286" s="5">
        <v>18</v>
      </c>
      <c r="AG286" s="5">
        <v>0</v>
      </c>
      <c r="AH286" s="5">
        <v>0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46" t="s">
        <v>238</v>
      </c>
      <c r="AR286" s="5">
        <v>1</v>
      </c>
      <c r="AS286" s="5">
        <v>8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31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  <c r="BW286" s="8" t="b">
        <v>1</v>
      </c>
      <c r="CL286" s="77" t="str">
        <f t="shared" si="8"/>
        <v>PoemEpigraph-non-versevepi</v>
      </c>
    </row>
    <row r="287" spans="1:90">
      <c r="A287" s="76" t="str">
        <f t="shared" si="9"/>
        <v>Poem Epigraph - verse (vepiv)</v>
      </c>
      <c r="B287" s="5"/>
      <c r="C287" s="5" t="s">
        <v>775</v>
      </c>
      <c r="D287" s="5" t="s">
        <v>1233</v>
      </c>
      <c r="E287" s="5" t="s">
        <v>240</v>
      </c>
      <c r="F287" s="5">
        <v>1</v>
      </c>
      <c r="G287" s="5" t="b">
        <v>0</v>
      </c>
      <c r="H287" s="5">
        <v>1</v>
      </c>
      <c r="I287" s="5" t="s">
        <v>2</v>
      </c>
      <c r="J287" s="5">
        <v>12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63</v>
      </c>
      <c r="AB287" s="5">
        <v>27</v>
      </c>
      <c r="AC287" s="5">
        <v>0</v>
      </c>
      <c r="AD287" s="5">
        <v>0</v>
      </c>
      <c r="AE287" s="5">
        <v>2</v>
      </c>
      <c r="AF287" s="5">
        <v>24</v>
      </c>
      <c r="AG287" s="5">
        <v>0</v>
      </c>
      <c r="AH287" s="5">
        <v>-36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46" t="s">
        <v>238</v>
      </c>
      <c r="AR287" s="5">
        <v>2</v>
      </c>
      <c r="AS287" s="5">
        <v>18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  <c r="BW287" s="8" t="b">
        <v>1</v>
      </c>
      <c r="CL287" s="77" t="str">
        <f t="shared" si="8"/>
        <v>PoemEpigraph-versevepiv</v>
      </c>
    </row>
    <row r="288" spans="1:90">
      <c r="A288" s="76" t="str">
        <f t="shared" si="9"/>
        <v>Poem Epigraph Source (veps)</v>
      </c>
      <c r="B288" s="5"/>
      <c r="C288" s="5" t="s">
        <v>776</v>
      </c>
      <c r="D288" s="5" t="s">
        <v>1234</v>
      </c>
      <c r="E288" s="5" t="s">
        <v>333</v>
      </c>
      <c r="F288" s="5">
        <v>1</v>
      </c>
      <c r="G288" s="5" t="b">
        <v>0</v>
      </c>
      <c r="H288" s="5">
        <v>1</v>
      </c>
      <c r="I288" s="5" t="s">
        <v>74</v>
      </c>
      <c r="J288" s="5">
        <v>12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27</v>
      </c>
      <c r="AB288" s="5">
        <v>27</v>
      </c>
      <c r="AC288" s="5">
        <v>0</v>
      </c>
      <c r="AD288" s="5">
        <v>0</v>
      </c>
      <c r="AE288" s="5">
        <v>1</v>
      </c>
      <c r="AF288" s="5">
        <v>18</v>
      </c>
      <c r="AG288" s="5">
        <v>2</v>
      </c>
      <c r="AH288" s="5">
        <v>0</v>
      </c>
      <c r="AI288" s="5">
        <v>10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46" t="s">
        <v>238</v>
      </c>
      <c r="AR288" s="5">
        <v>3</v>
      </c>
      <c r="AS288" s="5">
        <v>18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31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  <c r="BW288" s="8" t="b">
        <v>1</v>
      </c>
      <c r="CL288" s="77" t="str">
        <f t="shared" si="8"/>
        <v>PoemEpigraphSourceveps</v>
      </c>
    </row>
    <row r="289" spans="1:90">
      <c r="A289" s="76" t="str">
        <f t="shared" si="9"/>
        <v>Poem Level-1 Subhead (vh1)</v>
      </c>
      <c r="B289" s="5"/>
      <c r="C289" s="5" t="s">
        <v>777</v>
      </c>
      <c r="D289" s="5" t="s">
        <v>1235</v>
      </c>
      <c r="E289" s="5" t="s">
        <v>333</v>
      </c>
      <c r="F289" s="5">
        <v>1</v>
      </c>
      <c r="G289" s="5" t="b">
        <v>0</v>
      </c>
      <c r="H289" s="5">
        <v>1</v>
      </c>
      <c r="I289" s="5" t="s">
        <v>4</v>
      </c>
      <c r="J289" s="5">
        <v>16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0</v>
      </c>
      <c r="AB289" s="5">
        <v>0</v>
      </c>
      <c r="AC289" s="5">
        <v>18</v>
      </c>
      <c r="AD289" s="5">
        <v>0</v>
      </c>
      <c r="AE289" s="5">
        <v>2</v>
      </c>
      <c r="AF289" s="5">
        <v>24</v>
      </c>
      <c r="AG289" s="5">
        <v>0</v>
      </c>
      <c r="AH289" s="5">
        <v>0</v>
      </c>
      <c r="AI289" s="5">
        <v>5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46" t="s">
        <v>238</v>
      </c>
      <c r="AR289" s="5">
        <v>15</v>
      </c>
      <c r="AS289" s="5">
        <v>36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4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  <c r="BP289" s="8" t="s">
        <v>1323</v>
      </c>
      <c r="BR289" s="8" t="s">
        <v>1479</v>
      </c>
      <c r="BW289" s="8" t="b">
        <v>1</v>
      </c>
      <c r="CL289" s="77" t="str">
        <f t="shared" si="8"/>
        <v>PoemLevel-1Subheadvh1</v>
      </c>
    </row>
    <row r="290" spans="1:90">
      <c r="A290" s="76" t="str">
        <f t="shared" si="9"/>
        <v>Poem Level-2 Subhead (vh2)</v>
      </c>
      <c r="B290" s="5"/>
      <c r="C290" s="5" t="s">
        <v>778</v>
      </c>
      <c r="D290" s="5" t="s">
        <v>1236</v>
      </c>
      <c r="E290" s="5" t="s">
        <v>333</v>
      </c>
      <c r="F290" s="5">
        <v>1</v>
      </c>
      <c r="G290" s="5" t="b">
        <v>0</v>
      </c>
      <c r="H290" s="5">
        <v>1</v>
      </c>
      <c r="I290" s="5" t="s">
        <v>2</v>
      </c>
      <c r="J290" s="5">
        <v>16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0</v>
      </c>
      <c r="AB290" s="5">
        <v>0</v>
      </c>
      <c r="AC290" s="5">
        <v>18</v>
      </c>
      <c r="AD290" s="5">
        <v>0</v>
      </c>
      <c r="AE290" s="5">
        <v>2</v>
      </c>
      <c r="AF290" s="5">
        <v>24</v>
      </c>
      <c r="AG290" s="5">
        <v>0</v>
      </c>
      <c r="AH290" s="5">
        <v>0</v>
      </c>
      <c r="AI290" s="5">
        <v>6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46" t="s">
        <v>238</v>
      </c>
      <c r="AR290" s="5">
        <v>16</v>
      </c>
      <c r="AS290" s="5">
        <v>36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4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  <c r="BP290" s="8" t="s">
        <v>1323</v>
      </c>
      <c r="BR290" s="8" t="s">
        <v>1479</v>
      </c>
      <c r="BW290" s="8" t="b">
        <v>1</v>
      </c>
      <c r="CL290" s="77" t="str">
        <f t="shared" si="8"/>
        <v>PoemLevel-2Subheadvh2</v>
      </c>
    </row>
    <row r="291" spans="1:90">
      <c r="A291" s="76" t="str">
        <f t="shared" si="9"/>
        <v>Poem Level-3 Subhead (vh3)</v>
      </c>
      <c r="B291" s="5"/>
      <c r="C291" s="5" t="s">
        <v>779</v>
      </c>
      <c r="D291" s="5" t="s">
        <v>1237</v>
      </c>
      <c r="E291" s="5" t="s">
        <v>333</v>
      </c>
      <c r="F291" s="5">
        <v>1</v>
      </c>
      <c r="G291" s="5" t="b">
        <v>0</v>
      </c>
      <c r="H291" s="5">
        <v>1</v>
      </c>
      <c r="I291" s="5" t="s">
        <v>84</v>
      </c>
      <c r="J291" s="5">
        <v>16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7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46" t="s">
        <v>238</v>
      </c>
      <c r="AR291" s="5">
        <v>18</v>
      </c>
      <c r="AS291" s="5">
        <v>12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  <c r="BP291" s="8" t="s">
        <v>1323</v>
      </c>
      <c r="BR291" s="8" t="s">
        <v>1479</v>
      </c>
      <c r="BW291" s="8" t="b">
        <v>1</v>
      </c>
      <c r="CL291" s="77" t="str">
        <f t="shared" si="8"/>
        <v>PoemLevel-3Subheadvh3</v>
      </c>
    </row>
    <row r="292" spans="1:90">
      <c r="A292" s="76" t="str">
        <f t="shared" si="9"/>
        <v>Poem Level-4 Subhead (vh4)</v>
      </c>
      <c r="B292" s="5"/>
      <c r="C292" s="5" t="s">
        <v>780</v>
      </c>
      <c r="D292" s="5" t="s">
        <v>1238</v>
      </c>
      <c r="E292" s="5" t="s">
        <v>333</v>
      </c>
      <c r="F292" s="5">
        <v>1</v>
      </c>
      <c r="G292" s="5" t="b">
        <v>0</v>
      </c>
      <c r="H292" s="5">
        <v>1</v>
      </c>
      <c r="I292" s="5" t="s">
        <v>4</v>
      </c>
      <c r="J292" s="5">
        <v>14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8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46" t="s">
        <v>238</v>
      </c>
      <c r="AR292" s="5">
        <v>19</v>
      </c>
      <c r="AS292" s="5">
        <v>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  <c r="BP292" s="8" t="s">
        <v>1323</v>
      </c>
      <c r="BR292" s="8" t="s">
        <v>1479</v>
      </c>
      <c r="BW292" s="8" t="b">
        <v>1</v>
      </c>
      <c r="CL292" s="77" t="str">
        <f t="shared" si="8"/>
        <v>PoemLevel-4Subheadvh4</v>
      </c>
    </row>
    <row r="293" spans="1:90">
      <c r="A293" s="76" t="str">
        <f t="shared" si="9"/>
        <v>Poem Level-5 Subhead (vh5)</v>
      </c>
      <c r="B293" s="5"/>
      <c r="C293" s="5" t="s">
        <v>781</v>
      </c>
      <c r="D293" s="5" t="s">
        <v>1239</v>
      </c>
      <c r="E293" s="5" t="s">
        <v>333</v>
      </c>
      <c r="F293" s="5">
        <v>1</v>
      </c>
      <c r="G293" s="5" t="b">
        <v>0</v>
      </c>
      <c r="H293" s="5">
        <v>1</v>
      </c>
      <c r="I293" s="5" t="s">
        <v>2</v>
      </c>
      <c r="J293" s="5">
        <v>14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0</v>
      </c>
      <c r="AB293" s="5">
        <v>0</v>
      </c>
      <c r="AC293" s="5">
        <v>18</v>
      </c>
      <c r="AD293" s="5">
        <v>0</v>
      </c>
      <c r="AE293" s="5">
        <v>2</v>
      </c>
      <c r="AF293" s="5">
        <v>24</v>
      </c>
      <c r="AG293" s="5">
        <v>0</v>
      </c>
      <c r="AH293" s="5">
        <v>0</v>
      </c>
      <c r="AI293" s="5">
        <v>9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46" t="s">
        <v>238</v>
      </c>
      <c r="AR293" s="5">
        <v>1</v>
      </c>
      <c r="AS293" s="5">
        <v>24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4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  <c r="BP293" s="8" t="s">
        <v>1323</v>
      </c>
      <c r="BR293" s="8" t="s">
        <v>1479</v>
      </c>
      <c r="BW293" s="8" t="b">
        <v>1</v>
      </c>
      <c r="CL293" s="77" t="str">
        <f t="shared" si="8"/>
        <v>PoemLevel-5Subheadvh5</v>
      </c>
    </row>
    <row r="294" spans="1:90">
      <c r="A294" s="76" t="str">
        <f t="shared" si="9"/>
        <v>Poem Numeric Subheads (vhn)</v>
      </c>
      <c r="B294" s="5"/>
      <c r="C294" s="5" t="s">
        <v>782</v>
      </c>
      <c r="D294" s="5" t="s">
        <v>1240</v>
      </c>
      <c r="E294" s="5" t="s">
        <v>333</v>
      </c>
      <c r="F294" s="5">
        <v>1</v>
      </c>
      <c r="G294" s="5" t="b">
        <v>0</v>
      </c>
      <c r="H294" s="5">
        <v>1</v>
      </c>
      <c r="I294" s="5" t="s">
        <v>74</v>
      </c>
      <c r="J294" s="5">
        <v>18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0</v>
      </c>
      <c r="T294" s="5" t="b">
        <v>0</v>
      </c>
      <c r="U294" s="5" t="b">
        <v>0</v>
      </c>
      <c r="V294" s="5" t="b">
        <v>0</v>
      </c>
      <c r="W294" s="5"/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0</v>
      </c>
      <c r="AD294" s="5">
        <v>10</v>
      </c>
      <c r="AE294" s="5">
        <v>1</v>
      </c>
      <c r="AF294" s="5">
        <v>18</v>
      </c>
      <c r="AG294" s="5">
        <v>0</v>
      </c>
      <c r="AH294" s="5">
        <v>0</v>
      </c>
      <c r="AI294" s="5">
        <v>4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46" t="s">
        <v>238</v>
      </c>
      <c r="AR294" s="5">
        <v>7</v>
      </c>
      <c r="AS294" s="5">
        <v>6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6" t="s">
        <v>68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  <c r="BW294" s="8" t="b">
        <v>1</v>
      </c>
      <c r="CL294" s="77" t="str">
        <f t="shared" si="8"/>
        <v>PoemNumericSubheadsvhn</v>
      </c>
    </row>
    <row r="295" spans="1:90">
      <c r="A295" s="76" t="str">
        <f t="shared" si="9"/>
        <v>Poem Subtitle (vst)</v>
      </c>
      <c r="B295" s="5"/>
      <c r="C295" s="5" t="s">
        <v>783</v>
      </c>
      <c r="D295" s="5" t="s">
        <v>1241</v>
      </c>
      <c r="E295" s="5" t="s">
        <v>333</v>
      </c>
      <c r="F295" s="5">
        <v>1</v>
      </c>
      <c r="G295" s="5" t="b">
        <v>0</v>
      </c>
      <c r="H295" s="5">
        <v>1</v>
      </c>
      <c r="I295" s="5" t="s">
        <v>74</v>
      </c>
      <c r="J295" s="5">
        <v>18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0</v>
      </c>
      <c r="AD295" s="5">
        <v>10</v>
      </c>
      <c r="AE295" s="5">
        <v>2</v>
      </c>
      <c r="AF295" s="5">
        <v>24</v>
      </c>
      <c r="AG295" s="5">
        <v>1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46" t="s">
        <v>238</v>
      </c>
      <c r="AR295" s="5">
        <v>8</v>
      </c>
      <c r="AS295" s="5">
        <v>12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  <c r="BP295" s="8" t="s">
        <v>1323</v>
      </c>
      <c r="BR295" s="8" t="s">
        <v>1479</v>
      </c>
      <c r="BW295" s="8" t="b">
        <v>1</v>
      </c>
      <c r="CL295" s="77" t="str">
        <f t="shared" si="8"/>
        <v>PoemSubtitlevst</v>
      </c>
    </row>
    <row r="296" spans="1:90">
      <c r="A296" s="76" t="str">
        <f t="shared" si="9"/>
        <v>Poem Title (vt)</v>
      </c>
      <c r="B296" s="5"/>
      <c r="C296" s="5" t="s">
        <v>784</v>
      </c>
      <c r="D296" s="5" t="s">
        <v>1242</v>
      </c>
      <c r="E296" s="5" t="s">
        <v>333</v>
      </c>
      <c r="F296" s="5">
        <v>1</v>
      </c>
      <c r="G296" s="5" t="b">
        <v>0</v>
      </c>
      <c r="H296" s="5">
        <v>1</v>
      </c>
      <c r="I296" s="5" t="s">
        <v>2</v>
      </c>
      <c r="J296" s="5">
        <v>24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10</v>
      </c>
      <c r="AE296" s="5">
        <v>2</v>
      </c>
      <c r="AF296" s="5">
        <v>24</v>
      </c>
      <c r="AG296" s="5">
        <v>1</v>
      </c>
      <c r="AH296" s="5">
        <v>0</v>
      </c>
      <c r="AI296" s="5">
        <v>2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46" t="s">
        <v>238</v>
      </c>
      <c r="AR296" s="5">
        <v>7</v>
      </c>
      <c r="AS296" s="5">
        <v>18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  <c r="BP296" s="8" t="s">
        <v>1323</v>
      </c>
      <c r="BR296" s="8" t="s">
        <v>1479</v>
      </c>
      <c r="BW296" s="8" t="b">
        <v>1</v>
      </c>
      <c r="CL296" s="77" t="str">
        <f t="shared" si="8"/>
        <v>PoemTitlevt</v>
      </c>
    </row>
    <row r="297" spans="1:90">
      <c r="A297" s="76" t="str">
        <f t="shared" si="9"/>
        <v>Recipe Garnish (rg)</v>
      </c>
      <c r="B297" s="5"/>
      <c r="C297" s="5" t="s">
        <v>785</v>
      </c>
      <c r="D297" s="5" t="s">
        <v>1243</v>
      </c>
      <c r="E297" s="5" t="s">
        <v>241</v>
      </c>
      <c r="F297" s="5">
        <v>1</v>
      </c>
      <c r="G297" s="5" t="b">
        <v>0</v>
      </c>
      <c r="H297" s="5">
        <v>1</v>
      </c>
      <c r="I297" s="5" t="s">
        <v>144</v>
      </c>
      <c r="J297" s="5">
        <v>11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0</v>
      </c>
      <c r="AB297" s="5">
        <v>0</v>
      </c>
      <c r="AC297" s="5">
        <v>0</v>
      </c>
      <c r="AD297" s="5">
        <v>0</v>
      </c>
      <c r="AE297" s="5">
        <v>2</v>
      </c>
      <c r="AF297" s="5">
        <v>24</v>
      </c>
      <c r="AG297" s="5">
        <v>0</v>
      </c>
      <c r="AH297" s="5">
        <v>0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26" t="s">
        <v>370</v>
      </c>
      <c r="AR297" s="5">
        <v>3</v>
      </c>
      <c r="AS297" s="5">
        <v>24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4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  <c r="CL297" s="77" t="str">
        <f t="shared" si="8"/>
        <v>RecipeGarnishrg</v>
      </c>
    </row>
    <row r="298" spans="1:90">
      <c r="A298" s="76" t="str">
        <f t="shared" si="9"/>
        <v>Recipe Head (rh)</v>
      </c>
      <c r="B298" s="5"/>
      <c r="C298" s="5" t="s">
        <v>786</v>
      </c>
      <c r="D298" s="5" t="s">
        <v>1244</v>
      </c>
      <c r="E298" s="5" t="s">
        <v>242</v>
      </c>
      <c r="F298" s="5">
        <v>1</v>
      </c>
      <c r="G298" s="5" t="b">
        <v>0</v>
      </c>
      <c r="H298" s="5">
        <v>1</v>
      </c>
      <c r="I298" s="5" t="s">
        <v>4</v>
      </c>
      <c r="J298" s="5">
        <v>18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0</v>
      </c>
      <c r="AB298" s="5">
        <v>0</v>
      </c>
      <c r="AC298" s="5">
        <v>24</v>
      </c>
      <c r="AD298" s="5">
        <v>0</v>
      </c>
      <c r="AE298" s="5">
        <v>2</v>
      </c>
      <c r="AF298" s="5">
        <v>24</v>
      </c>
      <c r="AG298" s="5">
        <v>1</v>
      </c>
      <c r="AH298" s="5">
        <v>0</v>
      </c>
      <c r="AI298" s="5">
        <v>3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45" t="s">
        <v>207</v>
      </c>
      <c r="AR298" s="5">
        <v>15</v>
      </c>
      <c r="AS298" s="5">
        <v>36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4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  <c r="CL298" s="77" t="str">
        <f t="shared" si="8"/>
        <v>RecipeHeadrh</v>
      </c>
    </row>
    <row r="299" spans="1:90">
      <c r="A299" s="76" t="str">
        <f t="shared" si="9"/>
        <v>Recipe Headnote (rhn)</v>
      </c>
      <c r="B299" s="5"/>
      <c r="C299" s="5" t="s">
        <v>787</v>
      </c>
      <c r="D299" s="5" t="s">
        <v>1245</v>
      </c>
      <c r="E299" s="5" t="s">
        <v>242</v>
      </c>
      <c r="F299" s="5">
        <v>1</v>
      </c>
      <c r="G299" s="5" t="b">
        <v>0</v>
      </c>
      <c r="H299" s="5">
        <v>1</v>
      </c>
      <c r="I299" s="5" t="s">
        <v>2</v>
      </c>
      <c r="J299" s="5">
        <v>12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0</v>
      </c>
      <c r="AB299" s="5">
        <v>0</v>
      </c>
      <c r="AC299" s="5">
        <v>6</v>
      </c>
      <c r="AD299" s="5">
        <v>0</v>
      </c>
      <c r="AE299" s="5">
        <v>2</v>
      </c>
      <c r="AF299" s="5">
        <v>24</v>
      </c>
      <c r="AG299" s="5">
        <v>0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45" t="s">
        <v>207</v>
      </c>
      <c r="AR299" s="5">
        <v>8</v>
      </c>
      <c r="AS299" s="5">
        <v>12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4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  <c r="CL299" s="77" t="str">
        <f t="shared" si="8"/>
        <v>RecipeHeadnoterhn</v>
      </c>
    </row>
    <row r="300" spans="1:90">
      <c r="A300" s="76" t="str">
        <f t="shared" si="9"/>
        <v>Recipe Level-1 Subhead (rh1)</v>
      </c>
      <c r="B300" s="5"/>
      <c r="C300" s="5" t="s">
        <v>788</v>
      </c>
      <c r="D300" s="5" t="s">
        <v>1246</v>
      </c>
      <c r="E300" s="5" t="s">
        <v>246</v>
      </c>
      <c r="F300" s="5">
        <v>1</v>
      </c>
      <c r="G300" s="5" t="b">
        <v>0</v>
      </c>
      <c r="H300" s="5">
        <v>1</v>
      </c>
      <c r="I300" s="5" t="s">
        <v>4</v>
      </c>
      <c r="J300" s="5">
        <v>16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12</v>
      </c>
      <c r="AD300" s="5">
        <v>0</v>
      </c>
      <c r="AE300" s="5">
        <v>2</v>
      </c>
      <c r="AF300" s="5">
        <v>24</v>
      </c>
      <c r="AG300" s="5">
        <v>0</v>
      </c>
      <c r="AH300" s="5">
        <v>0</v>
      </c>
      <c r="AI300" s="5">
        <v>5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45" t="s">
        <v>207</v>
      </c>
      <c r="AR300" s="5">
        <v>18</v>
      </c>
      <c r="AS300" s="5">
        <v>12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  <c r="CL300" s="77" t="str">
        <f t="shared" si="8"/>
        <v>RecipeLevel-1Subheadrh1</v>
      </c>
    </row>
    <row r="301" spans="1:90">
      <c r="A301" s="76" t="str">
        <f t="shared" si="9"/>
        <v>Recipe Level-2 Subhead (rh2)</v>
      </c>
      <c r="B301" s="5"/>
      <c r="C301" s="5" t="s">
        <v>789</v>
      </c>
      <c r="D301" s="5" t="s">
        <v>1247</v>
      </c>
      <c r="E301" s="5" t="s">
        <v>246</v>
      </c>
      <c r="F301" s="5">
        <v>1</v>
      </c>
      <c r="G301" s="5" t="b">
        <v>0</v>
      </c>
      <c r="H301" s="5">
        <v>1</v>
      </c>
      <c r="I301" s="5" t="s">
        <v>2</v>
      </c>
      <c r="J301" s="5">
        <v>16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12</v>
      </c>
      <c r="AD301" s="5">
        <v>0</v>
      </c>
      <c r="AE301" s="5">
        <v>2</v>
      </c>
      <c r="AF301" s="5">
        <v>24</v>
      </c>
      <c r="AG301" s="5">
        <v>0</v>
      </c>
      <c r="AH301" s="5">
        <v>0</v>
      </c>
      <c r="AI301" s="5">
        <v>6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45" t="s">
        <v>207</v>
      </c>
      <c r="AR301" s="5">
        <v>19</v>
      </c>
      <c r="AS301" s="5">
        <v>6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  <c r="CL301" s="77" t="str">
        <f t="shared" si="8"/>
        <v>RecipeLevel-2Subheadrh2</v>
      </c>
    </row>
    <row r="302" spans="1:90">
      <c r="A302" s="76" t="str">
        <f t="shared" si="9"/>
        <v>Recipe Level-3 Subhead (rh3)</v>
      </c>
      <c r="B302" s="5"/>
      <c r="C302" s="5" t="s">
        <v>790</v>
      </c>
      <c r="D302" s="5" t="s">
        <v>1248</v>
      </c>
      <c r="E302" s="5" t="s">
        <v>246</v>
      </c>
      <c r="F302" s="5">
        <v>1</v>
      </c>
      <c r="G302" s="5" t="b">
        <v>0</v>
      </c>
      <c r="H302" s="5">
        <v>1</v>
      </c>
      <c r="I302" s="5" t="s">
        <v>84</v>
      </c>
      <c r="J302" s="5">
        <v>16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12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7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45" t="s">
        <v>207</v>
      </c>
      <c r="AR302" s="5">
        <v>3</v>
      </c>
      <c r="AS302" s="5">
        <v>24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  <c r="CL302" s="77" t="str">
        <f t="shared" si="8"/>
        <v>RecipeLevel-3Subheadrh3</v>
      </c>
    </row>
    <row r="303" spans="1:90">
      <c r="A303" s="76" t="str">
        <f t="shared" si="9"/>
        <v>Recipe Level-4 Subhead (rh4)</v>
      </c>
      <c r="B303" s="5"/>
      <c r="C303" s="5" t="s">
        <v>791</v>
      </c>
      <c r="D303" s="5" t="s">
        <v>1249</v>
      </c>
      <c r="E303" s="5" t="s">
        <v>246</v>
      </c>
      <c r="F303" s="5">
        <v>1</v>
      </c>
      <c r="G303" s="5" t="b">
        <v>0</v>
      </c>
      <c r="H303" s="5">
        <v>1</v>
      </c>
      <c r="I303" s="5" t="s">
        <v>4</v>
      </c>
      <c r="J303" s="5">
        <v>14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12</v>
      </c>
      <c r="AD303" s="5">
        <v>0</v>
      </c>
      <c r="AE303" s="5">
        <v>2</v>
      </c>
      <c r="AF303" s="5">
        <v>24</v>
      </c>
      <c r="AG303" s="5">
        <v>0</v>
      </c>
      <c r="AH303" s="5">
        <v>0</v>
      </c>
      <c r="AI303" s="5">
        <v>8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45" t="s">
        <v>207</v>
      </c>
      <c r="AR303" s="5">
        <v>7</v>
      </c>
      <c r="AS303" s="5">
        <v>6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6" t="s">
        <v>68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  <c r="CL303" s="77" t="str">
        <f t="shared" si="8"/>
        <v>RecipeLevel-4Subheadrh4</v>
      </c>
    </row>
    <row r="304" spans="1:90">
      <c r="A304" s="76" t="str">
        <f t="shared" si="9"/>
        <v>Recipe Level-5 Subhead (rh5)</v>
      </c>
      <c r="B304" s="5"/>
      <c r="C304" s="5" t="s">
        <v>792</v>
      </c>
      <c r="D304" s="5" t="s">
        <v>1250</v>
      </c>
      <c r="E304" s="5" t="s">
        <v>246</v>
      </c>
      <c r="F304" s="5">
        <v>1</v>
      </c>
      <c r="G304" s="5" t="b">
        <v>0</v>
      </c>
      <c r="H304" s="5">
        <v>1</v>
      </c>
      <c r="I304" s="5" t="s">
        <v>2</v>
      </c>
      <c r="J304" s="5">
        <v>14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6</v>
      </c>
      <c r="AD304" s="5">
        <v>0</v>
      </c>
      <c r="AE304" s="5">
        <v>2</v>
      </c>
      <c r="AF304" s="5">
        <v>24</v>
      </c>
      <c r="AG304" s="5">
        <v>0</v>
      </c>
      <c r="AH304" s="5">
        <v>0</v>
      </c>
      <c r="AI304" s="5">
        <v>9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45" t="s">
        <v>207</v>
      </c>
      <c r="AR304" s="5">
        <v>1</v>
      </c>
      <c r="AS304" s="5">
        <v>8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6" t="s">
        <v>68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  <c r="CL304" s="77" t="str">
        <f t="shared" si="8"/>
        <v>RecipeLevel-5Subheadrh5</v>
      </c>
    </row>
    <row r="305" spans="1:90">
      <c r="A305" s="76" t="str">
        <f t="shared" si="9"/>
        <v>Recipe Note Head (rnh)</v>
      </c>
      <c r="B305" s="5"/>
      <c r="C305" s="5" t="s">
        <v>793</v>
      </c>
      <c r="D305" s="5" t="s">
        <v>1251</v>
      </c>
      <c r="E305" s="5" t="s">
        <v>244</v>
      </c>
      <c r="F305" s="5">
        <v>1</v>
      </c>
      <c r="G305" s="5" t="b">
        <v>0</v>
      </c>
      <c r="H305" s="5">
        <v>1</v>
      </c>
      <c r="I305" s="5" t="s">
        <v>84</v>
      </c>
      <c r="J305" s="5">
        <v>9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6</v>
      </c>
      <c r="AD305" s="5">
        <v>10</v>
      </c>
      <c r="AE305" s="5">
        <v>2</v>
      </c>
      <c r="AF305" s="5">
        <v>24</v>
      </c>
      <c r="AG305" s="5">
        <v>0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26" t="s">
        <v>370</v>
      </c>
      <c r="AR305" s="5">
        <v>1</v>
      </c>
      <c r="AS305" s="5">
        <v>24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  <c r="CL305" s="77" t="str">
        <f t="shared" si="8"/>
        <v>RecipeNoteHeadrnh</v>
      </c>
    </row>
    <row r="306" spans="1:90">
      <c r="A306" s="76" t="str">
        <f t="shared" si="9"/>
        <v>Recipe Note Text (rntx)</v>
      </c>
      <c r="B306" s="5"/>
      <c r="C306" s="5" t="s">
        <v>794</v>
      </c>
      <c r="D306" s="5" t="s">
        <v>1252</v>
      </c>
      <c r="E306" s="5" t="s">
        <v>243</v>
      </c>
      <c r="F306" s="5">
        <v>1</v>
      </c>
      <c r="G306" s="5" t="b">
        <v>0</v>
      </c>
      <c r="H306" s="5">
        <v>1</v>
      </c>
      <c r="I306" s="5" t="s">
        <v>74</v>
      </c>
      <c r="J306" s="5">
        <v>10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0</v>
      </c>
      <c r="AD306" s="5">
        <v>0</v>
      </c>
      <c r="AE306" s="5">
        <v>2</v>
      </c>
      <c r="AF306" s="5">
        <v>24</v>
      </c>
      <c r="AG306" s="5">
        <v>0</v>
      </c>
      <c r="AH306" s="5">
        <v>36</v>
      </c>
      <c r="AI306" s="5">
        <v>10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26" t="s">
        <v>370</v>
      </c>
      <c r="AR306" s="5">
        <v>15</v>
      </c>
      <c r="AS306" s="5">
        <v>36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  <c r="CL306" s="77" t="str">
        <f t="shared" si="8"/>
        <v>RecipeNoteTextrntx</v>
      </c>
    </row>
    <row r="307" spans="1:90">
      <c r="A307" s="76" t="str">
        <f t="shared" si="9"/>
        <v>Recipe Note Text No-Indent (rntx1)</v>
      </c>
      <c r="B307" s="5"/>
      <c r="C307" s="5" t="s">
        <v>795</v>
      </c>
      <c r="D307" s="5" t="s">
        <v>1253</v>
      </c>
      <c r="E307" s="5" t="s">
        <v>243</v>
      </c>
      <c r="F307" s="5">
        <v>1</v>
      </c>
      <c r="G307" s="5" t="b">
        <v>0</v>
      </c>
      <c r="H307" s="5">
        <v>1</v>
      </c>
      <c r="I307" s="5" t="s">
        <v>74</v>
      </c>
      <c r="J307" s="5">
        <v>10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6</v>
      </c>
      <c r="AD307" s="5">
        <v>0</v>
      </c>
      <c r="AE307" s="5">
        <v>2</v>
      </c>
      <c r="AF307" s="5">
        <v>24</v>
      </c>
      <c r="AG307" s="5">
        <v>0</v>
      </c>
      <c r="AH307" s="5">
        <v>0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6" t="s">
        <v>370</v>
      </c>
      <c r="AR307" s="5">
        <v>16</v>
      </c>
      <c r="AS307" s="5">
        <v>36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  <c r="CL307" s="77" t="str">
        <f t="shared" si="8"/>
        <v>RecipeNoteTextNo-Indentrntx1</v>
      </c>
    </row>
    <row r="308" spans="1:90">
      <c r="A308" s="76" t="str">
        <f t="shared" si="9"/>
        <v>Recipe Nutrition Info (rni)</v>
      </c>
      <c r="B308" s="5"/>
      <c r="C308" s="5" t="s">
        <v>796</v>
      </c>
      <c r="D308" s="5" t="s">
        <v>1254</v>
      </c>
      <c r="E308" s="5" t="s">
        <v>245</v>
      </c>
      <c r="F308" s="5">
        <v>1</v>
      </c>
      <c r="G308" s="5" t="b">
        <v>0</v>
      </c>
      <c r="H308" s="5">
        <v>1</v>
      </c>
      <c r="I308" s="5" t="s">
        <v>144</v>
      </c>
      <c r="J308" s="5">
        <v>11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6</v>
      </c>
      <c r="AD308" s="5">
        <v>0</v>
      </c>
      <c r="AE308" s="5">
        <v>2</v>
      </c>
      <c r="AF308" s="5">
        <v>24</v>
      </c>
      <c r="AG308" s="5">
        <v>0</v>
      </c>
      <c r="AH308" s="5">
        <v>0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6" t="s">
        <v>370</v>
      </c>
      <c r="AR308" s="5">
        <v>8</v>
      </c>
      <c r="AS308" s="5">
        <v>12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  <c r="CL308" s="77" t="str">
        <f t="shared" si="8"/>
        <v>RecipeNutritionInforni</v>
      </c>
    </row>
    <row r="309" spans="1:90">
      <c r="A309" s="76" t="str">
        <f t="shared" si="9"/>
        <v>Recipe Procedures (rp)</v>
      </c>
      <c r="B309" s="5"/>
      <c r="C309" s="5" t="s">
        <v>797</v>
      </c>
      <c r="D309" s="5" t="s">
        <v>1255</v>
      </c>
      <c r="E309" s="5" t="s">
        <v>246</v>
      </c>
      <c r="F309" s="5">
        <v>1</v>
      </c>
      <c r="G309" s="5" t="b">
        <v>0</v>
      </c>
      <c r="H309" s="5">
        <v>1</v>
      </c>
      <c r="I309" s="5" t="s">
        <v>74</v>
      </c>
      <c r="J309" s="5">
        <v>12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6</v>
      </c>
      <c r="AD309" s="5">
        <v>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45" t="s">
        <v>207</v>
      </c>
      <c r="AR309" s="5">
        <v>1</v>
      </c>
      <c r="AS309" s="5">
        <v>48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  <c r="CL309" s="77" t="str">
        <f t="shared" si="8"/>
        <v>RecipeProceduresrp</v>
      </c>
    </row>
    <row r="310" spans="1:90">
      <c r="A310" s="76" t="str">
        <f t="shared" si="9"/>
        <v>Recipe Subhead (rsh)</v>
      </c>
      <c r="B310" s="5"/>
      <c r="C310" s="5" t="s">
        <v>798</v>
      </c>
      <c r="D310" s="5" t="s">
        <v>1256</v>
      </c>
      <c r="E310" s="5" t="s">
        <v>246</v>
      </c>
      <c r="F310" s="5">
        <v>1</v>
      </c>
      <c r="G310" s="5" t="b">
        <v>0</v>
      </c>
      <c r="H310" s="5">
        <v>1</v>
      </c>
      <c r="I310" s="5" t="s">
        <v>84</v>
      </c>
      <c r="J310" s="5">
        <v>16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0</v>
      </c>
      <c r="AB310" s="5">
        <v>0</v>
      </c>
      <c r="AC310" s="5">
        <v>0</v>
      </c>
      <c r="AD310" s="5">
        <v>0</v>
      </c>
      <c r="AE310" s="5">
        <v>2</v>
      </c>
      <c r="AF310" s="5">
        <v>24</v>
      </c>
      <c r="AG310" s="5">
        <v>1</v>
      </c>
      <c r="AH310" s="5">
        <v>0</v>
      </c>
      <c r="AI310" s="5">
        <v>4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45" t="s">
        <v>207</v>
      </c>
      <c r="AR310" s="5">
        <v>16</v>
      </c>
      <c r="AS310" s="5">
        <v>36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4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  <c r="CL310" s="77" t="str">
        <f t="shared" si="8"/>
        <v>RecipeSubheadrsh</v>
      </c>
    </row>
    <row r="311" spans="1:90">
      <c r="A311" s="76" t="str">
        <f t="shared" si="9"/>
        <v>Recipe Time (rt)</v>
      </c>
      <c r="B311" s="5"/>
      <c r="C311" s="5" t="s">
        <v>799</v>
      </c>
      <c r="D311" s="5" t="s">
        <v>1257</v>
      </c>
      <c r="E311" s="5" t="s">
        <v>247</v>
      </c>
      <c r="F311" s="5">
        <v>1</v>
      </c>
      <c r="G311" s="5" t="b">
        <v>0</v>
      </c>
      <c r="H311" s="5">
        <v>1</v>
      </c>
      <c r="I311" s="5" t="s">
        <v>144</v>
      </c>
      <c r="J311" s="5">
        <v>11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0</v>
      </c>
      <c r="AB311" s="5">
        <v>0</v>
      </c>
      <c r="AC311" s="5">
        <v>0</v>
      </c>
      <c r="AD311" s="5">
        <v>0</v>
      </c>
      <c r="AE311" s="5">
        <v>2</v>
      </c>
      <c r="AF311" s="5">
        <v>24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5" t="s">
        <v>207</v>
      </c>
      <c r="AR311" s="5">
        <v>1</v>
      </c>
      <c r="AS311" s="5">
        <v>24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4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  <c r="CL311" s="77" t="str">
        <f t="shared" si="8"/>
        <v>RecipeTimert</v>
      </c>
    </row>
    <row r="312" spans="1:90">
      <c r="A312" s="76" t="str">
        <f t="shared" si="9"/>
        <v>Recipe Var Head (rvh)</v>
      </c>
      <c r="B312" s="5"/>
      <c r="C312" s="5" t="s">
        <v>800</v>
      </c>
      <c r="D312" s="5" t="s">
        <v>1258</v>
      </c>
      <c r="E312" s="5" t="s">
        <v>249</v>
      </c>
      <c r="F312" s="5">
        <v>1</v>
      </c>
      <c r="G312" s="5" t="b">
        <v>0</v>
      </c>
      <c r="H312" s="5">
        <v>1</v>
      </c>
      <c r="I312" s="5" t="s">
        <v>2</v>
      </c>
      <c r="J312" s="5">
        <v>15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0</v>
      </c>
      <c r="AB312" s="5">
        <v>0</v>
      </c>
      <c r="AC312" s="5">
        <v>12</v>
      </c>
      <c r="AD312" s="5">
        <v>0</v>
      </c>
      <c r="AE312" s="5">
        <v>2</v>
      </c>
      <c r="AF312" s="5">
        <v>24</v>
      </c>
      <c r="AG312" s="5">
        <v>1</v>
      </c>
      <c r="AH312" s="5">
        <v>0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26" t="s">
        <v>370</v>
      </c>
      <c r="AR312" s="5">
        <v>2</v>
      </c>
      <c r="AS312" s="5">
        <v>48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4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  <c r="CL312" s="77" t="str">
        <f t="shared" si="8"/>
        <v>RecipeVarHeadrvh</v>
      </c>
    </row>
    <row r="313" spans="1:90">
      <c r="A313" s="76" t="str">
        <f t="shared" si="9"/>
        <v>Recipe Var Text (rvtx)</v>
      </c>
      <c r="B313" s="5"/>
      <c r="C313" s="5" t="s">
        <v>801</v>
      </c>
      <c r="D313" s="5" t="s">
        <v>1259</v>
      </c>
      <c r="E313" s="5" t="s">
        <v>248</v>
      </c>
      <c r="F313" s="5">
        <v>1</v>
      </c>
      <c r="G313" s="5" t="b">
        <v>0</v>
      </c>
      <c r="H313" s="5">
        <v>1</v>
      </c>
      <c r="I313" s="5" t="s">
        <v>2</v>
      </c>
      <c r="J313" s="5">
        <v>10.5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2</v>
      </c>
      <c r="AF313" s="5">
        <v>24</v>
      </c>
      <c r="AG313" s="5">
        <v>0</v>
      </c>
      <c r="AH313" s="5">
        <v>36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26" t="s">
        <v>370</v>
      </c>
      <c r="AR313" s="5">
        <v>1</v>
      </c>
      <c r="AS313" s="5">
        <v>48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4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  <c r="CL313" s="77" t="str">
        <f t="shared" si="8"/>
        <v>RecipeVarTextrvtx</v>
      </c>
    </row>
    <row r="314" spans="1:90">
      <c r="A314" s="76" t="str">
        <f t="shared" si="9"/>
        <v>Recipe Var Text No-Indent (rvtx1)</v>
      </c>
      <c r="B314" s="5"/>
      <c r="C314" s="5" t="s">
        <v>802</v>
      </c>
      <c r="D314" s="5" t="s">
        <v>1260</v>
      </c>
      <c r="E314" s="5" t="s">
        <v>248</v>
      </c>
      <c r="F314" s="5">
        <v>1</v>
      </c>
      <c r="G314" s="5" t="b">
        <v>0</v>
      </c>
      <c r="H314" s="5">
        <v>1</v>
      </c>
      <c r="I314" s="5" t="s">
        <v>2</v>
      </c>
      <c r="J314" s="5">
        <v>10.5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6</v>
      </c>
      <c r="AD314" s="5">
        <v>0</v>
      </c>
      <c r="AE314" s="5">
        <v>2</v>
      </c>
      <c r="AF314" s="5">
        <v>24</v>
      </c>
      <c r="AG314" s="5">
        <v>0</v>
      </c>
      <c r="AH314" s="5">
        <v>0</v>
      </c>
      <c r="AI314" s="5">
        <v>10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26" t="s">
        <v>370</v>
      </c>
      <c r="AR314" s="5">
        <v>7</v>
      </c>
      <c r="AS314" s="5">
        <v>18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  <c r="CL314" s="77" t="str">
        <f t="shared" si="8"/>
        <v>RecipeVarTextNo-Indentrvtx1</v>
      </c>
    </row>
    <row r="315" spans="1:90">
      <c r="A315" s="76" t="str">
        <f t="shared" si="9"/>
        <v>Recipe Yield (ry)</v>
      </c>
      <c r="B315" s="5"/>
      <c r="C315" s="5" t="s">
        <v>803</v>
      </c>
      <c r="D315" s="5" t="s">
        <v>1261</v>
      </c>
      <c r="E315" s="5" t="s">
        <v>250</v>
      </c>
      <c r="F315" s="5">
        <v>1</v>
      </c>
      <c r="G315" s="5" t="b">
        <v>0</v>
      </c>
      <c r="H315" s="5">
        <v>1</v>
      </c>
      <c r="I315" s="5" t="s">
        <v>144</v>
      </c>
      <c r="J315" s="5">
        <v>11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18</v>
      </c>
      <c r="AB315" s="5">
        <v>0</v>
      </c>
      <c r="AC315" s="5">
        <v>0</v>
      </c>
      <c r="AD315" s="5">
        <v>0</v>
      </c>
      <c r="AE315" s="5">
        <v>2</v>
      </c>
      <c r="AF315" s="5">
        <v>24</v>
      </c>
      <c r="AG315" s="5">
        <v>0</v>
      </c>
      <c r="AH315" s="5">
        <v>0</v>
      </c>
      <c r="AI315" s="5">
        <v>10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45" t="s">
        <v>207</v>
      </c>
      <c r="AR315" s="5">
        <v>2</v>
      </c>
      <c r="AS315" s="5">
        <v>24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22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  <c r="CL315" s="77" t="str">
        <f t="shared" si="8"/>
        <v>RecipeYieldry</v>
      </c>
    </row>
    <row r="316" spans="1:90">
      <c r="A316" s="76" t="str">
        <f t="shared" si="9"/>
        <v>Reference (see)</v>
      </c>
      <c r="B316" s="5"/>
      <c r="C316" s="5" t="s">
        <v>804</v>
      </c>
      <c r="D316" s="5" t="s">
        <v>1262</v>
      </c>
      <c r="E316" s="5" t="s">
        <v>251</v>
      </c>
      <c r="F316" s="5">
        <v>1</v>
      </c>
      <c r="G316" s="5" t="b">
        <v>0</v>
      </c>
      <c r="H316" s="5">
        <v>1</v>
      </c>
      <c r="I316" s="5" t="s">
        <v>74</v>
      </c>
      <c r="J316" s="5">
        <v>12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0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10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32" t="s">
        <v>149</v>
      </c>
      <c r="AR316" s="5">
        <v>1</v>
      </c>
      <c r="AS316" s="5">
        <v>24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  <c r="CL316" s="77" t="str">
        <f t="shared" si="8"/>
        <v>Referencesee</v>
      </c>
    </row>
    <row r="317" spans="1:90">
      <c r="A317" s="76" t="str">
        <f t="shared" si="9"/>
        <v>Screenplay Dramatis Personae (dp)</v>
      </c>
      <c r="B317" s="5"/>
      <c r="C317" s="5" t="s">
        <v>805</v>
      </c>
      <c r="D317" s="5" t="s">
        <v>1263</v>
      </c>
      <c r="E317" s="5" t="s">
        <v>252</v>
      </c>
      <c r="F317" s="5">
        <v>1</v>
      </c>
      <c r="G317" s="5" t="b">
        <v>0</v>
      </c>
      <c r="H317" s="5">
        <v>1</v>
      </c>
      <c r="I317" s="5" t="s">
        <v>144</v>
      </c>
      <c r="J317" s="5">
        <v>11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0</v>
      </c>
      <c r="AB317" s="5">
        <v>0</v>
      </c>
      <c r="AC317" s="5">
        <v>0</v>
      </c>
      <c r="AD317" s="5">
        <v>10</v>
      </c>
      <c r="AE317" s="5">
        <v>2</v>
      </c>
      <c r="AF317" s="5">
        <v>24</v>
      </c>
      <c r="AG317" s="5">
        <v>0</v>
      </c>
      <c r="AH317" s="5">
        <v>0</v>
      </c>
      <c r="AI317" s="5">
        <v>10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7" t="s">
        <v>360</v>
      </c>
      <c r="AR317" s="5">
        <v>1</v>
      </c>
      <c r="AS317" s="5">
        <v>24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4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  <c r="CL317" s="77" t="str">
        <f t="shared" si="8"/>
        <v>ScreenplayDramatisPersonaedp</v>
      </c>
    </row>
    <row r="318" spans="1:90">
      <c r="A318" s="76" t="str">
        <f t="shared" si="9"/>
        <v>Screenplay Extract (sp)</v>
      </c>
      <c r="B318" s="5"/>
      <c r="C318" s="5" t="s">
        <v>806</v>
      </c>
      <c r="D318" s="5" t="s">
        <v>1264</v>
      </c>
      <c r="E318" s="5" t="s">
        <v>253</v>
      </c>
      <c r="F318" s="5">
        <v>1</v>
      </c>
      <c r="G318" s="5" t="b">
        <v>0</v>
      </c>
      <c r="H318" s="5">
        <v>1</v>
      </c>
      <c r="I318" s="5" t="s">
        <v>144</v>
      </c>
      <c r="J318" s="5">
        <v>12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144</v>
      </c>
      <c r="AB318" s="5">
        <v>144</v>
      </c>
      <c r="AC318" s="5">
        <v>0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10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47" t="s">
        <v>360</v>
      </c>
      <c r="AR318" s="5">
        <v>8</v>
      </c>
      <c r="AS318" s="5">
        <v>12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  <c r="CL318" s="77" t="str">
        <f t="shared" si="8"/>
        <v>ScreenplayExtractsp</v>
      </c>
    </row>
    <row r="319" spans="1:90">
      <c r="A319" s="76" t="str">
        <f t="shared" si="9"/>
        <v>Screenplay Head (sph)</v>
      </c>
      <c r="B319" s="5"/>
      <c r="C319" s="5" t="s">
        <v>807</v>
      </c>
      <c r="D319" s="5" t="s">
        <v>1265</v>
      </c>
      <c r="E319" s="5" t="s">
        <v>255</v>
      </c>
      <c r="F319" s="5">
        <v>1</v>
      </c>
      <c r="G319" s="5" t="b">
        <v>0</v>
      </c>
      <c r="H319" s="5">
        <v>1</v>
      </c>
      <c r="I319" s="5" t="s">
        <v>2</v>
      </c>
      <c r="J319" s="5">
        <v>14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0</v>
      </c>
      <c r="AE319" s="5">
        <v>2</v>
      </c>
      <c r="AF319" s="5">
        <v>24</v>
      </c>
      <c r="AG319" s="5">
        <v>1</v>
      </c>
      <c r="AH319" s="5">
        <v>0</v>
      </c>
      <c r="AI319" s="5">
        <v>3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7" t="s">
        <v>360</v>
      </c>
      <c r="AR319" s="5">
        <v>1</v>
      </c>
      <c r="AS319" s="5">
        <v>48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  <c r="CL319" s="77" t="str">
        <f t="shared" si="8"/>
        <v>ScreenplayHeadsph</v>
      </c>
    </row>
    <row r="320" spans="1:90">
      <c r="A320" s="76" t="str">
        <f t="shared" si="9"/>
        <v>Screenplay Speaker (s)</v>
      </c>
      <c r="B320" s="5"/>
      <c r="C320" s="5" t="s">
        <v>808</v>
      </c>
      <c r="D320" s="5" t="s">
        <v>1266</v>
      </c>
      <c r="E320" s="5" t="s">
        <v>255</v>
      </c>
      <c r="F320" s="5">
        <v>1</v>
      </c>
      <c r="G320" s="5" t="b">
        <v>0</v>
      </c>
      <c r="H320" s="5">
        <v>1</v>
      </c>
      <c r="I320" s="5" t="s">
        <v>144</v>
      </c>
      <c r="J320" s="5">
        <v>12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0</v>
      </c>
      <c r="AB320" s="5">
        <v>0</v>
      </c>
      <c r="AC320" s="5">
        <v>12</v>
      </c>
      <c r="AD320" s="5">
        <v>0</v>
      </c>
      <c r="AE320" s="5">
        <v>2</v>
      </c>
      <c r="AF320" s="5">
        <v>24</v>
      </c>
      <c r="AG320" s="5">
        <v>1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7" t="s">
        <v>360</v>
      </c>
      <c r="AR320" s="5">
        <v>7</v>
      </c>
      <c r="AS320" s="5">
        <v>18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  <c r="CL320" s="77" t="str">
        <f t="shared" si="8"/>
        <v>ScreenplaySpeakers</v>
      </c>
    </row>
    <row r="321" spans="1:90">
      <c r="A321" s="76" t="str">
        <f t="shared" si="9"/>
        <v>Screenplay Stage Directions (sd)</v>
      </c>
      <c r="B321" s="5"/>
      <c r="C321" s="5" t="s">
        <v>809</v>
      </c>
      <c r="D321" s="5" t="s">
        <v>1267</v>
      </c>
      <c r="E321" s="5" t="s">
        <v>255</v>
      </c>
      <c r="F321" s="5">
        <v>1</v>
      </c>
      <c r="G321" s="5" t="b">
        <v>0</v>
      </c>
      <c r="H321" s="5">
        <v>1</v>
      </c>
      <c r="I321" s="5" t="s">
        <v>84</v>
      </c>
      <c r="J321" s="5">
        <v>10.5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108</v>
      </c>
      <c r="AB321" s="5">
        <v>0</v>
      </c>
      <c r="AC321" s="5">
        <v>0</v>
      </c>
      <c r="AD321" s="5">
        <v>6</v>
      </c>
      <c r="AE321" s="5">
        <v>2</v>
      </c>
      <c r="AF321" s="5">
        <v>24</v>
      </c>
      <c r="AG321" s="5">
        <v>0</v>
      </c>
      <c r="AH321" s="5">
        <v>0</v>
      </c>
      <c r="AI321" s="5">
        <v>10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7" t="s">
        <v>360</v>
      </c>
      <c r="AR321" s="5">
        <v>3</v>
      </c>
      <c r="AS321" s="5">
        <v>24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  <c r="CL321" s="77" t="str">
        <f t="shared" si="8"/>
        <v>ScreenplayStageDirectionssd</v>
      </c>
    </row>
    <row r="322" spans="1:90">
      <c r="A322" s="76" t="str">
        <f t="shared" si="9"/>
        <v>Screenplay Subhead (spsh)</v>
      </c>
      <c r="B322" s="5"/>
      <c r="C322" s="5" t="s">
        <v>810</v>
      </c>
      <c r="D322" s="5" t="s">
        <v>1268</v>
      </c>
      <c r="E322" s="5" t="s">
        <v>255</v>
      </c>
      <c r="F322" s="5">
        <v>1</v>
      </c>
      <c r="G322" s="5" t="b">
        <v>0</v>
      </c>
      <c r="H322" s="5">
        <v>1</v>
      </c>
      <c r="I322" s="5" t="s">
        <v>2</v>
      </c>
      <c r="J322" s="5">
        <v>12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2</v>
      </c>
      <c r="AF322" s="5">
        <v>24</v>
      </c>
      <c r="AG322" s="5">
        <v>1</v>
      </c>
      <c r="AH322" s="5">
        <v>0</v>
      </c>
      <c r="AI322" s="5">
        <v>4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47" t="s">
        <v>360</v>
      </c>
      <c r="AR322" s="5">
        <v>2</v>
      </c>
      <c r="AS322" s="5">
        <v>48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  <c r="CL322" s="77" t="str">
        <f t="shared" ref="CL322:CL385" si="10">SUBSTITUTE(SUBSTITUTE(SUBSTITUTE(SUBSTITUTE(A322, "(",""),")","")," ",""),"#","")</f>
        <v>ScreenplaySubheadspsh</v>
      </c>
    </row>
    <row r="323" spans="1:90">
      <c r="A323" s="76" t="str">
        <f t="shared" ref="A323:A386" si="11">IF($D323="","",TRIM($C323)&amp;" "&amp;CHAR(40)&amp;TRIM($D323)&amp;CHAR(41))</f>
        <v>Screenplay Text (sptx)</v>
      </c>
      <c r="B323" s="5"/>
      <c r="C323" s="5" t="s">
        <v>811</v>
      </c>
      <c r="D323" s="5" t="s">
        <v>1269</v>
      </c>
      <c r="E323" s="5" t="s">
        <v>254</v>
      </c>
      <c r="F323" s="5">
        <v>1</v>
      </c>
      <c r="G323" s="5" t="b">
        <v>0</v>
      </c>
      <c r="H323" s="5">
        <v>1</v>
      </c>
      <c r="I323" s="5" t="s">
        <v>144</v>
      </c>
      <c r="J323" s="5">
        <v>11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108</v>
      </c>
      <c r="AB323" s="5">
        <v>108</v>
      </c>
      <c r="AC323" s="5">
        <v>0</v>
      </c>
      <c r="AD323" s="5">
        <v>10</v>
      </c>
      <c r="AE323" s="5">
        <v>2</v>
      </c>
      <c r="AF323" s="5">
        <v>24</v>
      </c>
      <c r="AG323" s="5">
        <v>0</v>
      </c>
      <c r="AH323" s="5">
        <v>18</v>
      </c>
      <c r="AI323" s="5">
        <v>10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7" t="s">
        <v>360</v>
      </c>
      <c r="AR323" s="5">
        <v>18</v>
      </c>
      <c r="AS323" s="5">
        <v>12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  <c r="CL323" s="77" t="str">
        <f t="shared" si="10"/>
        <v>ScreenplayTextsptx</v>
      </c>
    </row>
    <row r="324" spans="1:90">
      <c r="A324" s="76" t="str">
        <f t="shared" si="11"/>
        <v>Screenplay Text No-Indent (sptx1)</v>
      </c>
      <c r="B324" s="5"/>
      <c r="C324" s="5" t="s">
        <v>812</v>
      </c>
      <c r="D324" s="5" t="s">
        <v>1270</v>
      </c>
      <c r="E324" s="5" t="s">
        <v>254</v>
      </c>
      <c r="F324" s="5">
        <v>1</v>
      </c>
      <c r="G324" s="5" t="b">
        <v>0</v>
      </c>
      <c r="H324" s="5">
        <v>1</v>
      </c>
      <c r="I324" s="5" t="s">
        <v>144</v>
      </c>
      <c r="J324" s="5">
        <v>11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108</v>
      </c>
      <c r="AB324" s="5">
        <v>0</v>
      </c>
      <c r="AC324" s="5">
        <v>0</v>
      </c>
      <c r="AD324" s="5">
        <v>0</v>
      </c>
      <c r="AE324" s="5">
        <v>2</v>
      </c>
      <c r="AF324" s="5">
        <v>24</v>
      </c>
      <c r="AG324" s="5">
        <v>0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7" t="s">
        <v>360</v>
      </c>
      <c r="AR324" s="5">
        <v>19</v>
      </c>
      <c r="AS324" s="5">
        <v>6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  <c r="CL324" s="77" t="str">
        <f t="shared" si="10"/>
        <v>ScreenplayTextNo-Indentsptx1</v>
      </c>
    </row>
    <row r="325" spans="1:90">
      <c r="A325" s="76" t="str">
        <f t="shared" si="11"/>
        <v>Section-Front-Sales (sfs)</v>
      </c>
      <c r="B325" s="5"/>
      <c r="C325" s="5" t="s">
        <v>1448</v>
      </c>
      <c r="D325" s="5" t="s">
        <v>1449</v>
      </c>
      <c r="E325" s="5" t="s">
        <v>1460</v>
      </c>
      <c r="F325" s="5">
        <v>1</v>
      </c>
      <c r="G325" s="5" t="b">
        <v>0</v>
      </c>
      <c r="H325" s="5">
        <v>1</v>
      </c>
      <c r="I325" s="5" t="s">
        <v>4</v>
      </c>
      <c r="J325" s="5">
        <v>11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0</v>
      </c>
      <c r="AB325" s="5">
        <v>0</v>
      </c>
      <c r="AC325" s="5">
        <v>0</v>
      </c>
      <c r="AD325" s="5">
        <v>6</v>
      </c>
      <c r="AE325" s="5">
        <v>0</v>
      </c>
      <c r="AF325" s="5">
        <v>11</v>
      </c>
      <c r="AG325" s="5">
        <v>1</v>
      </c>
      <c r="AH325" s="5">
        <v>0</v>
      </c>
      <c r="AI325" s="5">
        <v>1</v>
      </c>
      <c r="AJ325" s="5" t="b">
        <v>1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78" t="s">
        <v>1459</v>
      </c>
      <c r="AR325" s="5">
        <v>1</v>
      </c>
      <c r="AS325" s="5">
        <v>48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18" t="s">
        <v>1456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  <c r="CJ325" s="8" t="s">
        <v>1486</v>
      </c>
      <c r="CK325" s="8" t="s">
        <v>1503</v>
      </c>
      <c r="CL325" s="77" t="str">
        <f t="shared" si="10"/>
        <v>Section-Front-Salessfs</v>
      </c>
    </row>
    <row r="326" spans="1:90">
      <c r="A326" s="76" t="str">
        <f t="shared" si="11"/>
        <v>Section-Halftitle (sht)</v>
      </c>
      <c r="B326" s="5"/>
      <c r="C326" s="5" t="s">
        <v>950</v>
      </c>
      <c r="D326" s="5" t="s">
        <v>1272</v>
      </c>
      <c r="E326" s="5" t="s">
        <v>1453</v>
      </c>
      <c r="F326" s="5">
        <v>1</v>
      </c>
      <c r="G326" s="5" t="b">
        <v>0</v>
      </c>
      <c r="H326" s="5">
        <v>1</v>
      </c>
      <c r="I326" s="5" t="s">
        <v>4</v>
      </c>
      <c r="J326" s="5">
        <v>11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0</v>
      </c>
      <c r="AB326" s="5">
        <v>0</v>
      </c>
      <c r="AC326" s="5">
        <v>0</v>
      </c>
      <c r="AD326" s="5">
        <v>6</v>
      </c>
      <c r="AE326" s="5">
        <v>0</v>
      </c>
      <c r="AF326" s="5">
        <v>11</v>
      </c>
      <c r="AG326" s="5">
        <v>1</v>
      </c>
      <c r="AH326" s="5">
        <v>0</v>
      </c>
      <c r="AI326" s="5">
        <v>1</v>
      </c>
      <c r="AJ326" s="5" t="b">
        <v>1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78" t="s">
        <v>1459</v>
      </c>
      <c r="AR326" s="5">
        <v>1</v>
      </c>
      <c r="AS326" s="5">
        <v>48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18" t="s">
        <v>1456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  <c r="CJ326" s="8" t="s">
        <v>1487</v>
      </c>
      <c r="CL326" s="77" t="str">
        <f t="shared" si="10"/>
        <v>Section-Halftitlesht</v>
      </c>
    </row>
    <row r="327" spans="1:90">
      <c r="A327" s="76" t="str">
        <f t="shared" si="11"/>
        <v>Section-Series-Page (ssp)</v>
      </c>
      <c r="B327" s="5"/>
      <c r="C327" s="5" t="s">
        <v>1450</v>
      </c>
      <c r="D327" s="5" t="s">
        <v>1451</v>
      </c>
      <c r="E327" s="5" t="s">
        <v>1452</v>
      </c>
      <c r="F327" s="5">
        <v>1</v>
      </c>
      <c r="G327" s="5" t="b">
        <v>0</v>
      </c>
      <c r="H327" s="5">
        <v>1</v>
      </c>
      <c r="I327" s="5" t="s">
        <v>4</v>
      </c>
      <c r="J327" s="5">
        <v>11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0</v>
      </c>
      <c r="AD327" s="5">
        <v>6</v>
      </c>
      <c r="AE327" s="5">
        <v>0</v>
      </c>
      <c r="AF327" s="5">
        <v>11</v>
      </c>
      <c r="AG327" s="5">
        <v>1</v>
      </c>
      <c r="AH327" s="5">
        <v>0</v>
      </c>
      <c r="AI327" s="5">
        <v>1</v>
      </c>
      <c r="AJ327" s="5" t="b">
        <v>1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78" t="s">
        <v>1459</v>
      </c>
      <c r="AR327" s="5">
        <v>1</v>
      </c>
      <c r="AS327" s="5">
        <v>48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18" t="s">
        <v>1456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  <c r="CJ327" s="8" t="s">
        <v>1486</v>
      </c>
      <c r="CK327" s="8" t="s">
        <v>1504</v>
      </c>
      <c r="CL327" s="77" t="str">
        <f t="shared" si="10"/>
        <v>Section-Series-Pagessp</v>
      </c>
    </row>
    <row r="328" spans="1:90">
      <c r="A328" s="76" t="str">
        <f t="shared" si="11"/>
        <v>Section-Ad-Card (sac)</v>
      </c>
      <c r="B328" s="5"/>
      <c r="C328" s="5" t="s">
        <v>949</v>
      </c>
      <c r="D328" s="5" t="s">
        <v>1271</v>
      </c>
      <c r="E328" s="5" t="s">
        <v>1454</v>
      </c>
      <c r="F328" s="5">
        <v>1</v>
      </c>
      <c r="G328" s="5" t="b">
        <v>0</v>
      </c>
      <c r="H328" s="5">
        <v>1</v>
      </c>
      <c r="I328" s="5" t="s">
        <v>4</v>
      </c>
      <c r="J328" s="5">
        <v>11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0</v>
      </c>
      <c r="AD328" s="5">
        <v>6</v>
      </c>
      <c r="AE328" s="5">
        <v>0</v>
      </c>
      <c r="AF328" s="5">
        <v>11</v>
      </c>
      <c r="AG328" s="5">
        <v>1</v>
      </c>
      <c r="AH328" s="5">
        <v>0</v>
      </c>
      <c r="AI328" s="5">
        <v>1</v>
      </c>
      <c r="AJ328" s="5" t="b">
        <v>1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78" t="s">
        <v>1459</v>
      </c>
      <c r="AR328" s="5">
        <v>1</v>
      </c>
      <c r="AS328" s="5">
        <v>48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18" t="s">
        <v>1456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  <c r="CJ328" s="8" t="s">
        <v>1486</v>
      </c>
      <c r="CK328" s="8" t="s">
        <v>1505</v>
      </c>
      <c r="CL328" s="77" t="str">
        <f t="shared" si="10"/>
        <v>Section-Ad-Cardsac</v>
      </c>
    </row>
    <row r="329" spans="1:90">
      <c r="A329" s="76" t="str">
        <f t="shared" si="11"/>
        <v>Section-Titlepage (sti)</v>
      </c>
      <c r="B329" s="5"/>
      <c r="C329" s="5" t="s">
        <v>951</v>
      </c>
      <c r="D329" s="5" t="s">
        <v>952</v>
      </c>
      <c r="E329" s="5" t="s">
        <v>200</v>
      </c>
      <c r="F329" s="5">
        <v>1</v>
      </c>
      <c r="G329" s="5" t="b">
        <v>0</v>
      </c>
      <c r="H329" s="5">
        <v>1</v>
      </c>
      <c r="I329" s="5" t="s">
        <v>4</v>
      </c>
      <c r="J329" s="5">
        <v>11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0</v>
      </c>
      <c r="AD329" s="5">
        <v>6</v>
      </c>
      <c r="AE329" s="5">
        <v>0</v>
      </c>
      <c r="AF329" s="5">
        <v>11</v>
      </c>
      <c r="AG329" s="5">
        <v>1</v>
      </c>
      <c r="AH329" s="5">
        <v>0</v>
      </c>
      <c r="AI329" s="5">
        <v>1</v>
      </c>
      <c r="AJ329" s="5" t="b">
        <v>1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78" t="s">
        <v>1459</v>
      </c>
      <c r="AR329" s="5">
        <v>1</v>
      </c>
      <c r="AS329" s="5">
        <v>48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18" t="s">
        <v>1456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  <c r="CJ329" s="8" t="s">
        <v>1488</v>
      </c>
      <c r="CL329" s="77" t="str">
        <f>SUBSTITUTE(SUBSTITUTE(SUBSTITUTE(SUBSTITUTE(A329, "(",""),")","")," ",""),"#","")</f>
        <v>Section-Titlepagesti</v>
      </c>
    </row>
    <row r="330" spans="1:90">
      <c r="A330" s="76" t="str">
        <f t="shared" si="11"/>
        <v>Section-Copyright (scr)</v>
      </c>
      <c r="B330" s="5"/>
      <c r="C330" s="5" t="s">
        <v>1402</v>
      </c>
      <c r="D330" s="5" t="s">
        <v>1403</v>
      </c>
      <c r="E330" s="5" t="s">
        <v>142</v>
      </c>
      <c r="F330" s="5">
        <v>1</v>
      </c>
      <c r="G330" s="5" t="b">
        <v>0</v>
      </c>
      <c r="H330" s="5">
        <v>1</v>
      </c>
      <c r="I330" s="5" t="s">
        <v>4</v>
      </c>
      <c r="J330" s="5">
        <v>11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0</v>
      </c>
      <c r="AD330" s="5">
        <v>6</v>
      </c>
      <c r="AE330" s="5">
        <v>0</v>
      </c>
      <c r="AF330" s="5">
        <v>11</v>
      </c>
      <c r="AG330" s="5">
        <v>1</v>
      </c>
      <c r="AH330" s="5">
        <v>0</v>
      </c>
      <c r="AI330" s="5">
        <v>1</v>
      </c>
      <c r="AJ330" s="5" t="b">
        <v>1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78" t="s">
        <v>1459</v>
      </c>
      <c r="AR330" s="5">
        <v>1</v>
      </c>
      <c r="AS330" s="5">
        <v>48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18" t="s">
        <v>1456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  <c r="CJ330" s="8" t="s">
        <v>1489</v>
      </c>
      <c r="CL330" s="77" t="str">
        <f t="shared" si="10"/>
        <v>Section-Copyrightscr</v>
      </c>
    </row>
    <row r="331" spans="1:90">
      <c r="A331" s="76" t="str">
        <f t="shared" si="11"/>
        <v>Section-Dedication (sde)</v>
      </c>
      <c r="B331" s="5"/>
      <c r="C331" s="5" t="s">
        <v>1404</v>
      </c>
      <c r="D331" s="5" t="s">
        <v>1405</v>
      </c>
      <c r="E331" s="5" t="s">
        <v>146</v>
      </c>
      <c r="F331" s="5">
        <v>1</v>
      </c>
      <c r="G331" s="5" t="b">
        <v>0</v>
      </c>
      <c r="H331" s="5">
        <v>1</v>
      </c>
      <c r="I331" s="5" t="s">
        <v>4</v>
      </c>
      <c r="J331" s="5">
        <v>11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6</v>
      </c>
      <c r="AE331" s="5">
        <v>0</v>
      </c>
      <c r="AF331" s="5">
        <v>11</v>
      </c>
      <c r="AG331" s="5">
        <v>1</v>
      </c>
      <c r="AH331" s="5">
        <v>0</v>
      </c>
      <c r="AI331" s="5">
        <v>1</v>
      </c>
      <c r="AJ331" s="5" t="b">
        <v>1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78" t="s">
        <v>1459</v>
      </c>
      <c r="AR331" s="5">
        <v>1</v>
      </c>
      <c r="AS331" s="5">
        <v>48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18" t="s">
        <v>1456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  <c r="CJ331" s="8" t="s">
        <v>1490</v>
      </c>
      <c r="CL331" s="77" t="str">
        <f t="shared" si="10"/>
        <v>Section-Dedicationsde</v>
      </c>
    </row>
    <row r="332" spans="1:90">
      <c r="A332" s="76" t="str">
        <f t="shared" si="11"/>
        <v>Section-Epigraph (sepi)</v>
      </c>
      <c r="B332" s="5"/>
      <c r="C332" s="5" t="s">
        <v>1406</v>
      </c>
      <c r="D332" s="5" t="s">
        <v>1407</v>
      </c>
      <c r="E332" s="5" t="s">
        <v>159</v>
      </c>
      <c r="F332" s="5">
        <v>1</v>
      </c>
      <c r="G332" s="5" t="b">
        <v>0</v>
      </c>
      <c r="H332" s="5">
        <v>1</v>
      </c>
      <c r="I332" s="5" t="s">
        <v>4</v>
      </c>
      <c r="J332" s="5">
        <v>11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0</v>
      </c>
      <c r="AD332" s="5">
        <v>6</v>
      </c>
      <c r="AE332" s="5">
        <v>0</v>
      </c>
      <c r="AF332" s="5">
        <v>11</v>
      </c>
      <c r="AG332" s="5">
        <v>1</v>
      </c>
      <c r="AH332" s="5">
        <v>0</v>
      </c>
      <c r="AI332" s="5">
        <v>1</v>
      </c>
      <c r="AJ332" s="5" t="b">
        <v>1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78" t="s">
        <v>1459</v>
      </c>
      <c r="AR332" s="5">
        <v>1</v>
      </c>
      <c r="AS332" s="5">
        <v>48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18" t="s">
        <v>1456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  <c r="CJ332" s="8" t="s">
        <v>1486</v>
      </c>
      <c r="CK332" s="8" t="s">
        <v>1476</v>
      </c>
      <c r="CL332" s="77" t="str">
        <f t="shared" si="10"/>
        <v>Section-Epigraphsepi</v>
      </c>
    </row>
    <row r="333" spans="1:90">
      <c r="A333" s="76" t="str">
        <f t="shared" si="11"/>
        <v>Section-Contents (stc)</v>
      </c>
      <c r="B333" s="5"/>
      <c r="C333" s="5" t="s">
        <v>1408</v>
      </c>
      <c r="D333" s="5" t="s">
        <v>1409</v>
      </c>
      <c r="E333" s="5" t="s">
        <v>1452</v>
      </c>
      <c r="F333" s="5">
        <v>1</v>
      </c>
      <c r="G333" s="5" t="b">
        <v>0</v>
      </c>
      <c r="H333" s="5">
        <v>1</v>
      </c>
      <c r="I333" s="5" t="s">
        <v>4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0</v>
      </c>
      <c r="AD333" s="5">
        <v>6</v>
      </c>
      <c r="AE333" s="5">
        <v>0</v>
      </c>
      <c r="AF333" s="5">
        <v>11</v>
      </c>
      <c r="AG333" s="5">
        <v>1</v>
      </c>
      <c r="AH333" s="5">
        <v>0</v>
      </c>
      <c r="AI333" s="5">
        <v>1</v>
      </c>
      <c r="AJ333" s="5" t="b">
        <v>1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78" t="s">
        <v>1459</v>
      </c>
      <c r="AR333" s="5">
        <v>1</v>
      </c>
      <c r="AS333" s="5">
        <v>48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18" t="s">
        <v>1456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  <c r="CJ333" s="8" t="s">
        <v>1486</v>
      </c>
      <c r="CK333" s="8" t="s">
        <v>1506</v>
      </c>
      <c r="CL333" s="77" t="str">
        <f t="shared" si="10"/>
        <v>Section-Contentsstc</v>
      </c>
    </row>
    <row r="334" spans="1:90">
      <c r="A334" s="76" t="str">
        <f t="shared" si="11"/>
        <v>Section-Foreword (sfw)</v>
      </c>
      <c r="B334" s="5"/>
      <c r="C334" s="5" t="s">
        <v>1413</v>
      </c>
      <c r="D334" s="5" t="s">
        <v>1414</v>
      </c>
      <c r="E334" s="5" t="s">
        <v>1452</v>
      </c>
      <c r="F334" s="5">
        <v>1</v>
      </c>
      <c r="G334" s="5" t="b">
        <v>0</v>
      </c>
      <c r="H334" s="5">
        <v>1</v>
      </c>
      <c r="I334" s="5" t="s">
        <v>4</v>
      </c>
      <c r="J334" s="5">
        <v>11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0</v>
      </c>
      <c r="AD334" s="5">
        <v>6</v>
      </c>
      <c r="AE334" s="5">
        <v>0</v>
      </c>
      <c r="AF334" s="5">
        <v>11</v>
      </c>
      <c r="AG334" s="5">
        <v>1</v>
      </c>
      <c r="AH334" s="5">
        <v>0</v>
      </c>
      <c r="AI334" s="5">
        <v>1</v>
      </c>
      <c r="AJ334" s="5" t="b">
        <v>1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78" t="s">
        <v>1459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18" t="s">
        <v>1456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  <c r="CJ334" s="8" t="s">
        <v>1491</v>
      </c>
      <c r="CL334" s="77" t="str">
        <f t="shared" si="10"/>
        <v>Section-Forewordsfw</v>
      </c>
    </row>
    <row r="335" spans="1:90">
      <c r="A335" s="76" t="str">
        <f t="shared" si="11"/>
        <v>Section-Preface (spf)</v>
      </c>
      <c r="B335" s="5"/>
      <c r="C335" s="5" t="s">
        <v>1411</v>
      </c>
      <c r="D335" s="5" t="s">
        <v>1412</v>
      </c>
      <c r="E335" s="5" t="s">
        <v>1452</v>
      </c>
      <c r="F335" s="5">
        <v>1</v>
      </c>
      <c r="G335" s="5" t="b">
        <v>0</v>
      </c>
      <c r="H335" s="5">
        <v>1</v>
      </c>
      <c r="I335" s="5" t="s">
        <v>4</v>
      </c>
      <c r="J335" s="5">
        <v>11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6</v>
      </c>
      <c r="AE335" s="5">
        <v>0</v>
      </c>
      <c r="AF335" s="5">
        <v>11</v>
      </c>
      <c r="AG335" s="5">
        <v>1</v>
      </c>
      <c r="AH335" s="5">
        <v>0</v>
      </c>
      <c r="AI335" s="5">
        <v>1</v>
      </c>
      <c r="AJ335" s="5" t="b">
        <v>1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78" t="s">
        <v>1459</v>
      </c>
      <c r="AR335" s="5">
        <v>1</v>
      </c>
      <c r="AS335" s="5">
        <v>48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18" t="s">
        <v>1456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  <c r="CJ335" s="8" t="s">
        <v>1486</v>
      </c>
      <c r="CL335" s="77" t="str">
        <f t="shared" si="10"/>
        <v>Section-Prefacespf</v>
      </c>
    </row>
    <row r="336" spans="1:90">
      <c r="A336" s="76" t="str">
        <f t="shared" si="11"/>
        <v>Section-Blank-Page (sbl)</v>
      </c>
      <c r="B336" s="5"/>
      <c r="C336" s="5" t="s">
        <v>1415</v>
      </c>
      <c r="D336" s="5" t="s">
        <v>1416</v>
      </c>
      <c r="E336" s="5" t="s">
        <v>234</v>
      </c>
      <c r="F336" s="5">
        <v>1</v>
      </c>
      <c r="G336" s="5" t="b">
        <v>0</v>
      </c>
      <c r="H336" s="5">
        <v>1</v>
      </c>
      <c r="I336" s="5" t="s">
        <v>4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6</v>
      </c>
      <c r="AE336" s="5">
        <v>0</v>
      </c>
      <c r="AF336" s="5">
        <v>11</v>
      </c>
      <c r="AG336" s="5">
        <v>1</v>
      </c>
      <c r="AH336" s="5">
        <v>0</v>
      </c>
      <c r="AI336" s="5">
        <v>1</v>
      </c>
      <c r="AJ336" s="5" t="b">
        <v>1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78" t="s">
        <v>1459</v>
      </c>
      <c r="AR336" s="5">
        <v>1</v>
      </c>
      <c r="AS336" s="5">
        <v>48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18" t="s">
        <v>1456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  <c r="CJ336" s="8" t="s">
        <v>1486</v>
      </c>
      <c r="CK336" s="8" t="s">
        <v>1507</v>
      </c>
      <c r="CL336" s="77" t="str">
        <f t="shared" si="10"/>
        <v>Section-Blank-Pagesbl</v>
      </c>
    </row>
    <row r="337" spans="1:90">
      <c r="A337" s="76" t="str">
        <f t="shared" si="11"/>
        <v>Section-Intro-Frontmatter (sif)</v>
      </c>
      <c r="B337" s="5"/>
      <c r="C337" s="5" t="s">
        <v>1418</v>
      </c>
      <c r="D337" s="5" t="s">
        <v>1410</v>
      </c>
      <c r="E337" s="5" t="s">
        <v>1452</v>
      </c>
      <c r="F337" s="5">
        <v>1</v>
      </c>
      <c r="G337" s="5" t="b">
        <v>0</v>
      </c>
      <c r="H337" s="5">
        <v>1</v>
      </c>
      <c r="I337" s="5" t="s">
        <v>4</v>
      </c>
      <c r="J337" s="5">
        <v>11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0</v>
      </c>
      <c r="AD337" s="5">
        <v>6</v>
      </c>
      <c r="AE337" s="5">
        <v>0</v>
      </c>
      <c r="AF337" s="5">
        <v>11</v>
      </c>
      <c r="AG337" s="5">
        <v>1</v>
      </c>
      <c r="AH337" s="5">
        <v>0</v>
      </c>
      <c r="AI337" s="5">
        <v>1</v>
      </c>
      <c r="AJ337" s="5" t="b">
        <v>1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78" t="s">
        <v>1459</v>
      </c>
      <c r="AR337" s="5">
        <v>1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18" t="s">
        <v>1456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  <c r="CJ337" s="8" t="s">
        <v>1492</v>
      </c>
      <c r="CL337" s="77" t="str">
        <f t="shared" si="10"/>
        <v>Section-Intro-Frontmattersif</v>
      </c>
    </row>
    <row r="338" spans="1:90">
      <c r="A338" s="76" t="str">
        <f t="shared" si="11"/>
        <v>Section-Intro-Chapter (sic)</v>
      </c>
      <c r="B338" s="5"/>
      <c r="C338" s="5" t="s">
        <v>1417</v>
      </c>
      <c r="D338" s="5" t="s">
        <v>1419</v>
      </c>
      <c r="E338" s="5" t="s">
        <v>127</v>
      </c>
      <c r="F338" s="5">
        <v>1</v>
      </c>
      <c r="G338" s="5" t="b">
        <v>0</v>
      </c>
      <c r="H338" s="5">
        <v>1</v>
      </c>
      <c r="I338" s="5" t="s">
        <v>4</v>
      </c>
      <c r="J338" s="5">
        <v>11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6</v>
      </c>
      <c r="AE338" s="5">
        <v>0</v>
      </c>
      <c r="AF338" s="5">
        <v>11</v>
      </c>
      <c r="AG338" s="5">
        <v>1</v>
      </c>
      <c r="AH338" s="5">
        <v>0</v>
      </c>
      <c r="AI338" s="5">
        <v>1</v>
      </c>
      <c r="AJ338" s="5" t="b">
        <v>1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78" t="s">
        <v>1459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19" t="s">
        <v>1458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  <c r="CJ338" s="8" t="s">
        <v>1493</v>
      </c>
      <c r="CK338" s="8" t="s">
        <v>1492</v>
      </c>
      <c r="CL338" s="77" t="str">
        <f t="shared" si="10"/>
        <v>Section-Intro-Chaptersic</v>
      </c>
    </row>
    <row r="339" spans="1:90">
      <c r="A339" s="76" t="str">
        <f t="shared" si="11"/>
        <v>Section-Part (spt)</v>
      </c>
      <c r="B339" s="5"/>
      <c r="C339" s="5" t="s">
        <v>1420</v>
      </c>
      <c r="D339" s="5" t="s">
        <v>1421</v>
      </c>
      <c r="E339" s="5" t="s">
        <v>236</v>
      </c>
      <c r="F339" s="5">
        <v>1</v>
      </c>
      <c r="G339" s="5" t="b">
        <v>0</v>
      </c>
      <c r="H339" s="5">
        <v>1</v>
      </c>
      <c r="I339" s="5" t="s">
        <v>4</v>
      </c>
      <c r="J339" s="5">
        <v>11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0</v>
      </c>
      <c r="AD339" s="5">
        <v>6</v>
      </c>
      <c r="AE339" s="5">
        <v>0</v>
      </c>
      <c r="AF339" s="5">
        <v>11</v>
      </c>
      <c r="AG339" s="5">
        <v>1</v>
      </c>
      <c r="AH339" s="5">
        <v>0</v>
      </c>
      <c r="AI339" s="5">
        <v>1</v>
      </c>
      <c r="AJ339" s="5" t="b">
        <v>1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78" t="s">
        <v>1459</v>
      </c>
      <c r="AR339" s="5">
        <v>1</v>
      </c>
      <c r="AS339" s="5">
        <v>48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19" t="s">
        <v>1458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  <c r="BS339" s="8" t="b">
        <v>1</v>
      </c>
      <c r="CJ339" s="8" t="s">
        <v>1494</v>
      </c>
      <c r="CL339" s="77" t="str">
        <f t="shared" si="10"/>
        <v>Section-Partspt</v>
      </c>
    </row>
    <row r="340" spans="1:90">
      <c r="A340" s="76" t="str">
        <f t="shared" si="11"/>
        <v>Section-Chapter (scp)</v>
      </c>
      <c r="B340" s="5"/>
      <c r="C340" s="5" t="s">
        <v>1422</v>
      </c>
      <c r="D340" s="5" t="s">
        <v>1423</v>
      </c>
      <c r="E340" s="5" t="s">
        <v>1455</v>
      </c>
      <c r="F340" s="5">
        <v>1</v>
      </c>
      <c r="G340" s="5" t="b">
        <v>0</v>
      </c>
      <c r="H340" s="5">
        <v>1</v>
      </c>
      <c r="I340" s="5" t="s">
        <v>4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0</v>
      </c>
      <c r="AB340" s="5">
        <v>0</v>
      </c>
      <c r="AC340" s="5">
        <v>0</v>
      </c>
      <c r="AD340" s="5">
        <v>6</v>
      </c>
      <c r="AE340" s="5">
        <v>0</v>
      </c>
      <c r="AF340" s="5">
        <v>11</v>
      </c>
      <c r="AG340" s="5">
        <v>1</v>
      </c>
      <c r="AH340" s="5">
        <v>0</v>
      </c>
      <c r="AI340" s="5">
        <v>1</v>
      </c>
      <c r="AJ340" s="5" t="b">
        <v>1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78" t="s">
        <v>1459</v>
      </c>
      <c r="AR340" s="5">
        <v>1</v>
      </c>
      <c r="AS340" s="5">
        <v>48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4</v>
      </c>
      <c r="BC340" s="5">
        <v>4</v>
      </c>
      <c r="BD340" s="5">
        <v>1</v>
      </c>
      <c r="BE340" s="5">
        <v>1</v>
      </c>
      <c r="BF340" s="19" t="s">
        <v>1458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  <c r="CJ340" s="8" t="s">
        <v>1493</v>
      </c>
      <c r="CL340" s="77" t="str">
        <f t="shared" si="10"/>
        <v>Section-Chapterscp</v>
      </c>
    </row>
    <row r="341" spans="1:90">
      <c r="A341" s="76" t="str">
        <f t="shared" si="11"/>
        <v>Section-Conclusion (scl)</v>
      </c>
      <c r="B341" s="5"/>
      <c r="C341" s="5" t="s">
        <v>1428</v>
      </c>
      <c r="D341" s="5" t="s">
        <v>1429</v>
      </c>
      <c r="E341" s="5" t="s">
        <v>89</v>
      </c>
      <c r="F341" s="5">
        <v>1</v>
      </c>
      <c r="G341" s="5" t="b">
        <v>0</v>
      </c>
      <c r="H341" s="5">
        <v>1</v>
      </c>
      <c r="I341" s="5" t="s">
        <v>4</v>
      </c>
      <c r="J341" s="5">
        <v>11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6</v>
      </c>
      <c r="AE341" s="5">
        <v>0</v>
      </c>
      <c r="AF341" s="5">
        <v>11</v>
      </c>
      <c r="AG341" s="5">
        <v>1</v>
      </c>
      <c r="AH341" s="5">
        <v>0</v>
      </c>
      <c r="AI341" s="5">
        <v>1</v>
      </c>
      <c r="AJ341" s="5" t="b">
        <v>1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78" t="s">
        <v>1459</v>
      </c>
      <c r="AR341" s="5">
        <v>1</v>
      </c>
      <c r="AS341" s="5">
        <v>48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19" t="s">
        <v>1458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  <c r="CJ341" s="8" t="s">
        <v>1495</v>
      </c>
      <c r="CL341" s="77" t="str">
        <f t="shared" si="10"/>
        <v>Section-Conclusionscl</v>
      </c>
    </row>
    <row r="342" spans="1:90">
      <c r="A342" s="76" t="str">
        <f t="shared" si="11"/>
        <v>Section-Appendix (sap)</v>
      </c>
      <c r="B342" s="5"/>
      <c r="C342" s="5" t="s">
        <v>1424</v>
      </c>
      <c r="D342" s="5" t="s">
        <v>1425</v>
      </c>
      <c r="E342" s="5" t="s">
        <v>79</v>
      </c>
      <c r="F342" s="5">
        <v>1</v>
      </c>
      <c r="G342" s="5" t="b">
        <v>0</v>
      </c>
      <c r="H342" s="5">
        <v>1</v>
      </c>
      <c r="I342" s="5" t="s">
        <v>4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6</v>
      </c>
      <c r="AE342" s="5">
        <v>0</v>
      </c>
      <c r="AF342" s="5">
        <v>11</v>
      </c>
      <c r="AG342" s="5">
        <v>1</v>
      </c>
      <c r="AH342" s="5">
        <v>0</v>
      </c>
      <c r="AI342" s="5">
        <v>1</v>
      </c>
      <c r="AJ342" s="5" t="b">
        <v>1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78" t="s">
        <v>1459</v>
      </c>
      <c r="AR342" s="5">
        <v>1</v>
      </c>
      <c r="AS342" s="5">
        <v>48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21" t="s">
        <v>1457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  <c r="CJ342" s="8" t="s">
        <v>1496</v>
      </c>
      <c r="CL342" s="77" t="str">
        <f t="shared" si="10"/>
        <v>Section-Appendixsap</v>
      </c>
    </row>
    <row r="343" spans="1:90">
      <c r="A343" s="76" t="str">
        <f t="shared" si="11"/>
        <v>Section-Afterword (saw)</v>
      </c>
      <c r="B343" s="5"/>
      <c r="C343" s="5" t="s">
        <v>1426</v>
      </c>
      <c r="D343" s="5" t="s">
        <v>1427</v>
      </c>
      <c r="E343" s="5" t="s">
        <v>89</v>
      </c>
      <c r="F343" s="5">
        <v>1</v>
      </c>
      <c r="G343" s="5" t="b">
        <v>0</v>
      </c>
      <c r="H343" s="5">
        <v>1</v>
      </c>
      <c r="I343" s="5" t="s">
        <v>4</v>
      </c>
      <c r="J343" s="5">
        <v>11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0</v>
      </c>
      <c r="AB343" s="5">
        <v>0</v>
      </c>
      <c r="AC343" s="5">
        <v>0</v>
      </c>
      <c r="AD343" s="5">
        <v>6</v>
      </c>
      <c r="AE343" s="5">
        <v>0</v>
      </c>
      <c r="AF343" s="5">
        <v>11</v>
      </c>
      <c r="AG343" s="5">
        <v>1</v>
      </c>
      <c r="AH343" s="5">
        <v>0</v>
      </c>
      <c r="AI343" s="5">
        <v>1</v>
      </c>
      <c r="AJ343" s="5" t="b">
        <v>1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78" t="s">
        <v>1459</v>
      </c>
      <c r="AR343" s="5">
        <v>1</v>
      </c>
      <c r="AS343" s="5">
        <v>48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21" t="s">
        <v>1457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  <c r="CJ343" s="8" t="s">
        <v>1497</v>
      </c>
      <c r="CL343" s="77" t="str">
        <f t="shared" si="10"/>
        <v>Section-Afterwordsaw</v>
      </c>
    </row>
    <row r="344" spans="1:90">
      <c r="A344" s="76" t="str">
        <f t="shared" si="11"/>
        <v>Section-Acknowledgments (sak)</v>
      </c>
      <c r="B344" s="5"/>
      <c r="C344" s="5" t="s">
        <v>1430</v>
      </c>
      <c r="D344" s="5" t="s">
        <v>1431</v>
      </c>
      <c r="E344" s="5" t="s">
        <v>89</v>
      </c>
      <c r="F344" s="5">
        <v>1</v>
      </c>
      <c r="G344" s="5" t="b">
        <v>0</v>
      </c>
      <c r="H344" s="5">
        <v>1</v>
      </c>
      <c r="I344" s="5" t="s">
        <v>4</v>
      </c>
      <c r="J344" s="5">
        <v>11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6</v>
      </c>
      <c r="AE344" s="5">
        <v>0</v>
      </c>
      <c r="AF344" s="5">
        <v>11</v>
      </c>
      <c r="AG344" s="5">
        <v>1</v>
      </c>
      <c r="AH344" s="5">
        <v>0</v>
      </c>
      <c r="AI344" s="5">
        <v>1</v>
      </c>
      <c r="AJ344" s="5" t="b">
        <v>1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78" t="s">
        <v>1459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21" t="s">
        <v>1457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  <c r="CJ344" s="8" t="s">
        <v>1498</v>
      </c>
      <c r="CL344" s="77" t="str">
        <f t="shared" si="10"/>
        <v>Section-Acknowledgmentssak</v>
      </c>
    </row>
    <row r="345" spans="1:90">
      <c r="A345" s="76" t="str">
        <f t="shared" si="11"/>
        <v>Section-Glossary (sgl)</v>
      </c>
      <c r="B345" s="5"/>
      <c r="C345" s="5" t="s">
        <v>1432</v>
      </c>
      <c r="D345" s="5" t="s">
        <v>1433</v>
      </c>
      <c r="E345" s="5" t="s">
        <v>89</v>
      </c>
      <c r="F345" s="5">
        <v>1</v>
      </c>
      <c r="G345" s="5" t="b">
        <v>0</v>
      </c>
      <c r="H345" s="5">
        <v>1</v>
      </c>
      <c r="I345" s="5" t="s">
        <v>4</v>
      </c>
      <c r="J345" s="5">
        <v>11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0</v>
      </c>
      <c r="AD345" s="5">
        <v>6</v>
      </c>
      <c r="AE345" s="5">
        <v>0</v>
      </c>
      <c r="AF345" s="5">
        <v>11</v>
      </c>
      <c r="AG345" s="5">
        <v>1</v>
      </c>
      <c r="AH345" s="5">
        <v>0</v>
      </c>
      <c r="AI345" s="5">
        <v>1</v>
      </c>
      <c r="AJ345" s="5" t="b">
        <v>1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78" t="s">
        <v>1459</v>
      </c>
      <c r="AR345" s="5">
        <v>1</v>
      </c>
      <c r="AS345" s="5">
        <v>48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21" t="s">
        <v>1457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  <c r="CJ345" s="8" t="s">
        <v>1499</v>
      </c>
      <c r="CL345" s="77" t="str">
        <f t="shared" si="10"/>
        <v>Section-Glossarysgl</v>
      </c>
    </row>
    <row r="346" spans="1:90">
      <c r="A346" s="76" t="str">
        <f t="shared" si="11"/>
        <v>Section-Notes (snt)</v>
      </c>
      <c r="B346" s="5"/>
      <c r="C346" s="5" t="s">
        <v>1434</v>
      </c>
      <c r="D346" s="5" t="s">
        <v>1435</v>
      </c>
      <c r="E346" s="5" t="s">
        <v>89</v>
      </c>
      <c r="F346" s="5">
        <v>1</v>
      </c>
      <c r="G346" s="5" t="b">
        <v>0</v>
      </c>
      <c r="H346" s="5">
        <v>1</v>
      </c>
      <c r="I346" s="5" t="s">
        <v>4</v>
      </c>
      <c r="J346" s="5">
        <v>11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0</v>
      </c>
      <c r="AB346" s="5">
        <v>0</v>
      </c>
      <c r="AC346" s="5">
        <v>0</v>
      </c>
      <c r="AD346" s="5">
        <v>6</v>
      </c>
      <c r="AE346" s="5">
        <v>0</v>
      </c>
      <c r="AF346" s="5">
        <v>11</v>
      </c>
      <c r="AG346" s="5">
        <v>1</v>
      </c>
      <c r="AH346" s="5">
        <v>0</v>
      </c>
      <c r="AI346" s="5">
        <v>1</v>
      </c>
      <c r="AJ346" s="5" t="b">
        <v>1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78" t="s">
        <v>1459</v>
      </c>
      <c r="AR346" s="5">
        <v>1</v>
      </c>
      <c r="AS346" s="5">
        <v>48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21" t="s">
        <v>1457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  <c r="CJ346" s="8" t="s">
        <v>1496</v>
      </c>
      <c r="CK346" s="8" t="s">
        <v>1508</v>
      </c>
      <c r="CL346" s="77" t="str">
        <f t="shared" si="10"/>
        <v>Section-Notessnt</v>
      </c>
    </row>
    <row r="347" spans="1:90">
      <c r="A347" s="76" t="str">
        <f t="shared" si="11"/>
        <v>Section-Bibliography (sbi)</v>
      </c>
      <c r="B347" s="5"/>
      <c r="C347" s="5" t="s">
        <v>1436</v>
      </c>
      <c r="D347" s="5" t="s">
        <v>1437</v>
      </c>
      <c r="E347" s="5" t="s">
        <v>89</v>
      </c>
      <c r="F347" s="5">
        <v>1</v>
      </c>
      <c r="G347" s="5" t="b">
        <v>0</v>
      </c>
      <c r="H347" s="5">
        <v>1</v>
      </c>
      <c r="I347" s="5" t="s">
        <v>4</v>
      </c>
      <c r="J347" s="5">
        <v>11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6</v>
      </c>
      <c r="AE347" s="5">
        <v>0</v>
      </c>
      <c r="AF347" s="5">
        <v>11</v>
      </c>
      <c r="AG347" s="5">
        <v>1</v>
      </c>
      <c r="AH347" s="5">
        <v>0</v>
      </c>
      <c r="AI347" s="5">
        <v>1</v>
      </c>
      <c r="AJ347" s="5" t="b">
        <v>1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78" t="s">
        <v>1459</v>
      </c>
      <c r="AR347" s="5">
        <v>1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21" t="s">
        <v>1457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  <c r="CJ347" s="8" t="s">
        <v>1500</v>
      </c>
      <c r="CL347" s="77" t="str">
        <f t="shared" si="10"/>
        <v>Section-Bibliographysbi</v>
      </c>
    </row>
    <row r="348" spans="1:90">
      <c r="A348" s="76" t="str">
        <f t="shared" si="11"/>
        <v>Section-Excerpt-Opener (seo)</v>
      </c>
      <c r="B348" s="5"/>
      <c r="C348" s="5" t="s">
        <v>1438</v>
      </c>
      <c r="D348" s="5" t="s">
        <v>1439</v>
      </c>
      <c r="E348" s="5" t="s">
        <v>315</v>
      </c>
      <c r="F348" s="5">
        <v>1</v>
      </c>
      <c r="G348" s="5" t="b">
        <v>0</v>
      </c>
      <c r="H348" s="5">
        <v>1</v>
      </c>
      <c r="I348" s="5" t="s">
        <v>4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0</v>
      </c>
      <c r="AB348" s="5">
        <v>0</v>
      </c>
      <c r="AC348" s="5">
        <v>0</v>
      </c>
      <c r="AD348" s="5">
        <v>6</v>
      </c>
      <c r="AE348" s="5">
        <v>0</v>
      </c>
      <c r="AF348" s="5">
        <v>11</v>
      </c>
      <c r="AG348" s="5">
        <v>1</v>
      </c>
      <c r="AH348" s="5">
        <v>0</v>
      </c>
      <c r="AI348" s="5">
        <v>1</v>
      </c>
      <c r="AJ348" s="5" t="b">
        <v>1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78" t="s">
        <v>1459</v>
      </c>
      <c r="AR348" s="5">
        <v>1</v>
      </c>
      <c r="AS348" s="5">
        <v>48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21" t="s">
        <v>1457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  <c r="CJ348" s="8" t="s">
        <v>1496</v>
      </c>
      <c r="CK348" s="8" t="s">
        <v>1509</v>
      </c>
      <c r="CL348" s="77" t="str">
        <f t="shared" si="10"/>
        <v>Section-Excerpt-Openerseo</v>
      </c>
    </row>
    <row r="349" spans="1:90">
      <c r="A349" s="76" t="str">
        <f t="shared" si="11"/>
        <v>Section-Excerpt-Chapter (sec)</v>
      </c>
      <c r="B349" s="5"/>
      <c r="C349" s="5" t="s">
        <v>1440</v>
      </c>
      <c r="D349" s="5" t="s">
        <v>1441</v>
      </c>
      <c r="E349" s="5" t="s">
        <v>127</v>
      </c>
      <c r="F349" s="5">
        <v>1</v>
      </c>
      <c r="G349" s="5" t="b">
        <v>0</v>
      </c>
      <c r="H349" s="5">
        <v>1</v>
      </c>
      <c r="I349" s="5" t="s">
        <v>4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0</v>
      </c>
      <c r="AB349" s="5">
        <v>0</v>
      </c>
      <c r="AC349" s="5">
        <v>0</v>
      </c>
      <c r="AD349" s="5">
        <v>6</v>
      </c>
      <c r="AE349" s="5">
        <v>0</v>
      </c>
      <c r="AF349" s="5">
        <v>11</v>
      </c>
      <c r="AG349" s="5">
        <v>1</v>
      </c>
      <c r="AH349" s="5">
        <v>0</v>
      </c>
      <c r="AI349" s="5">
        <v>1</v>
      </c>
      <c r="AJ349" s="5" t="b">
        <v>1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78" t="s">
        <v>1459</v>
      </c>
      <c r="AR349" s="5">
        <v>1</v>
      </c>
      <c r="AS349" s="5">
        <v>48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21" t="s">
        <v>1457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  <c r="CJ349" s="8" t="s">
        <v>1496</v>
      </c>
      <c r="CK349" s="8" t="s">
        <v>1510</v>
      </c>
      <c r="CL349" s="77" t="str">
        <f t="shared" si="10"/>
        <v>Section-Excerpt-Chaptersec</v>
      </c>
    </row>
    <row r="350" spans="1:90">
      <c r="A350" s="76" t="str">
        <f t="shared" si="11"/>
        <v>Section-About-Author (saa)</v>
      </c>
      <c r="B350" s="5"/>
      <c r="C350" s="5" t="s">
        <v>1442</v>
      </c>
      <c r="D350" s="5" t="s">
        <v>1443</v>
      </c>
      <c r="E350" s="5" t="s">
        <v>3</v>
      </c>
      <c r="F350" s="5">
        <v>1</v>
      </c>
      <c r="G350" s="5" t="b">
        <v>0</v>
      </c>
      <c r="H350" s="5">
        <v>1</v>
      </c>
      <c r="I350" s="5" t="s">
        <v>4</v>
      </c>
      <c r="J350" s="5">
        <v>11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6</v>
      </c>
      <c r="AE350" s="5">
        <v>0</v>
      </c>
      <c r="AF350" s="5">
        <v>11</v>
      </c>
      <c r="AG350" s="5">
        <v>1</v>
      </c>
      <c r="AH350" s="5">
        <v>0</v>
      </c>
      <c r="AI350" s="5">
        <v>1</v>
      </c>
      <c r="AJ350" s="5" t="b">
        <v>1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78" t="s">
        <v>1459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1" t="s">
        <v>1457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  <c r="CJ350" s="8" t="s">
        <v>1496</v>
      </c>
      <c r="CK350" s="8" t="s">
        <v>1511</v>
      </c>
      <c r="CL350" s="77" t="str">
        <f t="shared" si="10"/>
        <v>Section-About-Authorsaa</v>
      </c>
    </row>
    <row r="351" spans="1:90">
      <c r="A351" s="76" t="str">
        <f t="shared" si="11"/>
        <v>Section-Back-Ad (sba)</v>
      </c>
      <c r="B351" s="5"/>
      <c r="C351" s="5" t="s">
        <v>1444</v>
      </c>
      <c r="D351" s="5" t="s">
        <v>1445</v>
      </c>
      <c r="E351" s="5" t="s">
        <v>70</v>
      </c>
      <c r="F351" s="5">
        <v>1</v>
      </c>
      <c r="G351" s="5" t="b">
        <v>0</v>
      </c>
      <c r="H351" s="5">
        <v>1</v>
      </c>
      <c r="I351" s="5" t="s">
        <v>4</v>
      </c>
      <c r="J351" s="5">
        <v>11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0</v>
      </c>
      <c r="AB351" s="5">
        <v>0</v>
      </c>
      <c r="AC351" s="5">
        <v>0</v>
      </c>
      <c r="AD351" s="5">
        <v>6</v>
      </c>
      <c r="AE351" s="5">
        <v>0</v>
      </c>
      <c r="AF351" s="5">
        <v>11</v>
      </c>
      <c r="AG351" s="5">
        <v>1</v>
      </c>
      <c r="AH351" s="5">
        <v>0</v>
      </c>
      <c r="AI351" s="5">
        <v>1</v>
      </c>
      <c r="AJ351" s="5" t="b">
        <v>1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78" t="s">
        <v>1459</v>
      </c>
      <c r="AR351" s="5">
        <v>1</v>
      </c>
      <c r="AS351" s="5">
        <v>48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4</v>
      </c>
      <c r="BC351" s="5">
        <v>4</v>
      </c>
      <c r="BD351" s="5">
        <v>1</v>
      </c>
      <c r="BE351" s="5">
        <v>1</v>
      </c>
      <c r="BF351" s="21" t="s">
        <v>1457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  <c r="CJ351" s="8" t="s">
        <v>1496</v>
      </c>
      <c r="CK351" s="8" t="s">
        <v>1512</v>
      </c>
      <c r="CL351" s="77" t="str">
        <f t="shared" si="10"/>
        <v>Section-Back-Adsba</v>
      </c>
    </row>
    <row r="352" spans="1:90">
      <c r="A352" s="76" t="str">
        <f t="shared" si="11"/>
        <v>Section-Index (sin)</v>
      </c>
      <c r="B352" s="5"/>
      <c r="C352" s="5" t="s">
        <v>1446</v>
      </c>
      <c r="D352" s="5" t="s">
        <v>1447</v>
      </c>
      <c r="E352" s="5" t="s">
        <v>89</v>
      </c>
      <c r="F352" s="5">
        <v>1</v>
      </c>
      <c r="G352" s="5" t="b">
        <v>0</v>
      </c>
      <c r="H352" s="5">
        <v>1</v>
      </c>
      <c r="I352" s="5" t="s">
        <v>4</v>
      </c>
      <c r="J352" s="5">
        <v>11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6</v>
      </c>
      <c r="AE352" s="5">
        <v>0</v>
      </c>
      <c r="AF352" s="5">
        <v>11</v>
      </c>
      <c r="AG352" s="5">
        <v>1</v>
      </c>
      <c r="AH352" s="5">
        <v>0</v>
      </c>
      <c r="AI352" s="5">
        <v>1</v>
      </c>
      <c r="AJ352" s="5" t="b">
        <v>1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78" t="s">
        <v>1459</v>
      </c>
      <c r="AR352" s="5">
        <v>1</v>
      </c>
      <c r="AS352" s="5">
        <v>48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21" t="s">
        <v>1457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  <c r="CJ352" s="8" t="s">
        <v>1501</v>
      </c>
      <c r="CL352" s="77" t="str">
        <f t="shared" si="10"/>
        <v>Section-Indexsin</v>
      </c>
    </row>
    <row r="353" spans="1:91">
      <c r="A353" s="76" t="str">
        <f t="shared" si="11"/>
        <v>Section Break (sbr)</v>
      </c>
      <c r="B353" s="5"/>
      <c r="C353" s="5" t="s">
        <v>813</v>
      </c>
      <c r="D353" s="5" t="s">
        <v>1273</v>
      </c>
      <c r="E353" s="5" t="s">
        <v>256</v>
      </c>
      <c r="F353" s="5">
        <v>1</v>
      </c>
      <c r="G353" s="5" t="b">
        <v>0</v>
      </c>
      <c r="H353" s="5">
        <v>1</v>
      </c>
      <c r="I353" s="5" t="s">
        <v>74</v>
      </c>
      <c r="J353" s="5">
        <v>14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10</v>
      </c>
      <c r="AE353" s="5">
        <v>5</v>
      </c>
      <c r="AF353" s="5">
        <v>13.8</v>
      </c>
      <c r="AG353" s="5">
        <v>1</v>
      </c>
      <c r="AH353" s="5">
        <v>0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30" t="s">
        <v>145</v>
      </c>
      <c r="AR353" s="5">
        <v>1</v>
      </c>
      <c r="AS353" s="5">
        <v>48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25" t="s">
        <v>374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  <c r="CH353" s="8" t="b">
        <v>1</v>
      </c>
      <c r="CL353" s="77" t="str">
        <f t="shared" si="10"/>
        <v>SectionBreaksbr</v>
      </c>
      <c r="CM353" s="79"/>
    </row>
    <row r="354" spans="1:91">
      <c r="A354" s="76" t="str">
        <f t="shared" si="11"/>
        <v>Series Page Author (sau)</v>
      </c>
      <c r="B354" s="5"/>
      <c r="C354" s="5" t="s">
        <v>814</v>
      </c>
      <c r="D354" s="5" t="s">
        <v>1274</v>
      </c>
      <c r="E354" s="5" t="s">
        <v>257</v>
      </c>
      <c r="F354" s="5">
        <v>1</v>
      </c>
      <c r="G354" s="5" t="b">
        <v>0</v>
      </c>
      <c r="H354" s="5">
        <v>1</v>
      </c>
      <c r="I354" s="5" t="s">
        <v>2</v>
      </c>
      <c r="J354" s="5">
        <v>10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27</v>
      </c>
      <c r="AB354" s="5">
        <v>0</v>
      </c>
      <c r="AC354" s="5">
        <v>0</v>
      </c>
      <c r="AD354" s="5">
        <v>6</v>
      </c>
      <c r="AE354" s="5">
        <v>1</v>
      </c>
      <c r="AF354" s="5">
        <v>18</v>
      </c>
      <c r="AG354" s="5">
        <v>0</v>
      </c>
      <c r="AH354" s="5">
        <v>0</v>
      </c>
      <c r="AI354" s="5">
        <v>10</v>
      </c>
      <c r="AJ354" s="5" t="b">
        <v>0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48" t="s">
        <v>383</v>
      </c>
      <c r="AR354" s="5">
        <v>11</v>
      </c>
      <c r="AS354" s="5">
        <v>36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31</v>
      </c>
      <c r="BC354" s="5">
        <v>4</v>
      </c>
      <c r="BD354" s="5">
        <v>1</v>
      </c>
      <c r="BE354" s="5">
        <v>1</v>
      </c>
      <c r="BF354" s="6" t="s">
        <v>68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  <c r="CL354" s="77" t="str">
        <f t="shared" si="10"/>
        <v>SeriesPageAuthorsau</v>
      </c>
      <c r="CM354" s="79"/>
    </row>
    <row r="355" spans="1:91">
      <c r="A355" s="76" t="str">
        <f t="shared" si="11"/>
        <v>Series Page Heading (sh)</v>
      </c>
      <c r="B355" s="5"/>
      <c r="C355" s="5" t="s">
        <v>815</v>
      </c>
      <c r="D355" s="5" t="s">
        <v>1275</v>
      </c>
      <c r="E355" s="5" t="s">
        <v>260</v>
      </c>
      <c r="F355" s="5">
        <v>1</v>
      </c>
      <c r="G355" s="5" t="b">
        <v>0</v>
      </c>
      <c r="H355" s="5">
        <v>1</v>
      </c>
      <c r="I355" s="5" t="s">
        <v>4</v>
      </c>
      <c r="J355" s="5">
        <v>16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2</v>
      </c>
      <c r="AF355" s="5">
        <v>24</v>
      </c>
      <c r="AG355" s="5">
        <v>1</v>
      </c>
      <c r="AH355" s="5">
        <v>0</v>
      </c>
      <c r="AI355" s="5">
        <v>3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48" t="s">
        <v>383</v>
      </c>
      <c r="AR355" s="5">
        <v>8</v>
      </c>
      <c r="AS355" s="5">
        <v>12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6" t="s">
        <v>68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  <c r="CL355" s="77" t="str">
        <f t="shared" si="10"/>
        <v>SeriesPageHeadingsh</v>
      </c>
      <c r="CM355" s="79"/>
    </row>
    <row r="356" spans="1:91">
      <c r="A356" s="76" t="str">
        <f t="shared" si="11"/>
        <v>Series Page List of Titles (slt)</v>
      </c>
      <c r="B356" s="5"/>
      <c r="C356" s="5" t="s">
        <v>816</v>
      </c>
      <c r="D356" s="5" t="s">
        <v>1276</v>
      </c>
      <c r="E356" s="5" t="s">
        <v>258</v>
      </c>
      <c r="F356" s="5">
        <v>1</v>
      </c>
      <c r="G356" s="5" t="b">
        <v>0</v>
      </c>
      <c r="H356" s="5">
        <v>1</v>
      </c>
      <c r="I356" s="5" t="s">
        <v>2</v>
      </c>
      <c r="J356" s="5">
        <v>10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0</v>
      </c>
      <c r="AD356" s="5">
        <v>0</v>
      </c>
      <c r="AE356" s="5">
        <v>1</v>
      </c>
      <c r="AF356" s="5">
        <v>18</v>
      </c>
      <c r="AG356" s="5">
        <v>0</v>
      </c>
      <c r="AH356" s="5">
        <v>0</v>
      </c>
      <c r="AI356" s="5">
        <v>10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8" t="s">
        <v>383</v>
      </c>
      <c r="AR356" s="5">
        <v>8</v>
      </c>
      <c r="AS356" s="5">
        <v>12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  <c r="CL356" s="77" t="str">
        <f t="shared" si="10"/>
        <v>SeriesPageListofTitlesslt</v>
      </c>
      <c r="CM356" s="79"/>
    </row>
    <row r="357" spans="1:91">
      <c r="A357" s="76" t="str">
        <f t="shared" si="11"/>
        <v>Series Page Subhead 1 (sh1)</v>
      </c>
      <c r="B357" s="5"/>
      <c r="C357" s="5" t="s">
        <v>817</v>
      </c>
      <c r="D357" s="5" t="s">
        <v>1277</v>
      </c>
      <c r="E357" s="5" t="s">
        <v>260</v>
      </c>
      <c r="F357" s="5">
        <v>1</v>
      </c>
      <c r="G357" s="5" t="b">
        <v>0</v>
      </c>
      <c r="H357" s="5">
        <v>1</v>
      </c>
      <c r="I357" s="5" t="s">
        <v>4</v>
      </c>
      <c r="J357" s="5">
        <v>14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6</v>
      </c>
      <c r="AD357" s="5">
        <v>0</v>
      </c>
      <c r="AE357" s="5">
        <v>2</v>
      </c>
      <c r="AF357" s="5">
        <v>24</v>
      </c>
      <c r="AG357" s="5">
        <v>0</v>
      </c>
      <c r="AH357" s="5">
        <v>0</v>
      </c>
      <c r="AI357" s="5">
        <v>5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8" t="s">
        <v>383</v>
      </c>
      <c r="AR357" s="5">
        <v>2</v>
      </c>
      <c r="AS357" s="5">
        <v>48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  <c r="CL357" s="77" t="str">
        <f t="shared" si="10"/>
        <v>SeriesPageSubhead1sh1</v>
      </c>
      <c r="CM357" s="79"/>
    </row>
    <row r="358" spans="1:91">
      <c r="A358" s="76" t="str">
        <f t="shared" si="11"/>
        <v>Series Page Subhead 2 (sh2)</v>
      </c>
      <c r="B358" s="5"/>
      <c r="C358" s="5" t="s">
        <v>818</v>
      </c>
      <c r="D358" s="5" t="s">
        <v>1278</v>
      </c>
      <c r="E358" s="5" t="s">
        <v>260</v>
      </c>
      <c r="F358" s="5">
        <v>1</v>
      </c>
      <c r="G358" s="5" t="b">
        <v>0</v>
      </c>
      <c r="H358" s="5">
        <v>1</v>
      </c>
      <c r="I358" s="5" t="s">
        <v>2</v>
      </c>
      <c r="J358" s="5">
        <v>14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6</v>
      </c>
      <c r="AD358" s="5">
        <v>0</v>
      </c>
      <c r="AE358" s="5">
        <v>2</v>
      </c>
      <c r="AF358" s="5">
        <v>24</v>
      </c>
      <c r="AG358" s="5">
        <v>0</v>
      </c>
      <c r="AH358" s="5">
        <v>0</v>
      </c>
      <c r="AI358" s="5">
        <v>6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8" t="s">
        <v>383</v>
      </c>
      <c r="AR358" s="5">
        <v>12</v>
      </c>
      <c r="AS358" s="5">
        <v>24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  <c r="CL358" s="77" t="str">
        <f t="shared" si="10"/>
        <v>SeriesPageSubhead2sh2</v>
      </c>
      <c r="CM358" s="79"/>
    </row>
    <row r="359" spans="1:91">
      <c r="A359" s="76" t="str">
        <f t="shared" si="11"/>
        <v>Series Page Subhead 3 (sh3)</v>
      </c>
      <c r="B359" s="5"/>
      <c r="C359" s="5" t="s">
        <v>819</v>
      </c>
      <c r="D359" s="5" t="s">
        <v>1279</v>
      </c>
      <c r="E359" s="5" t="s">
        <v>260</v>
      </c>
      <c r="F359" s="5">
        <v>1</v>
      </c>
      <c r="G359" s="5" t="b">
        <v>0</v>
      </c>
      <c r="H359" s="5">
        <v>1</v>
      </c>
      <c r="I359" s="5" t="s">
        <v>4</v>
      </c>
      <c r="J359" s="5">
        <v>12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0</v>
      </c>
      <c r="AB359" s="5">
        <v>0</v>
      </c>
      <c r="AC359" s="5">
        <v>6</v>
      </c>
      <c r="AD359" s="5">
        <v>0</v>
      </c>
      <c r="AE359" s="5">
        <v>2</v>
      </c>
      <c r="AF359" s="5">
        <v>24</v>
      </c>
      <c r="AG359" s="5">
        <v>0</v>
      </c>
      <c r="AH359" s="5">
        <v>0</v>
      </c>
      <c r="AI359" s="5">
        <v>7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8" t="s">
        <v>383</v>
      </c>
      <c r="AR359" s="5">
        <v>13</v>
      </c>
      <c r="AS359" s="5">
        <v>24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4</v>
      </c>
      <c r="BC359" s="5">
        <v>4</v>
      </c>
      <c r="BD359" s="5">
        <v>1</v>
      </c>
      <c r="BE359" s="5">
        <v>1</v>
      </c>
      <c r="BF359" s="6" t="s">
        <v>68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  <c r="CL359" s="77" t="str">
        <f t="shared" si="10"/>
        <v>SeriesPageSubhead3sh3</v>
      </c>
      <c r="CM359" s="79"/>
    </row>
    <row r="360" spans="1:91">
      <c r="A360" s="76" t="str">
        <f t="shared" si="11"/>
        <v>Series Page Text (stx)</v>
      </c>
      <c r="B360" s="5"/>
      <c r="C360" s="5" t="s">
        <v>820</v>
      </c>
      <c r="D360" s="5" t="s">
        <v>1280</v>
      </c>
      <c r="E360" s="5" t="s">
        <v>259</v>
      </c>
      <c r="F360" s="5">
        <v>1</v>
      </c>
      <c r="G360" s="5" t="b">
        <v>0</v>
      </c>
      <c r="H360" s="5">
        <v>1</v>
      </c>
      <c r="I360" s="5" t="s">
        <v>74</v>
      </c>
      <c r="J360" s="5">
        <v>12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0</v>
      </c>
      <c r="Y360" s="5" t="b">
        <v>0</v>
      </c>
      <c r="Z360" s="5" t="b">
        <v>0</v>
      </c>
      <c r="AA360" s="5">
        <v>0</v>
      </c>
      <c r="AB360" s="5">
        <v>0</v>
      </c>
      <c r="AC360" s="5">
        <v>0</v>
      </c>
      <c r="AD360" s="5">
        <v>0</v>
      </c>
      <c r="AE360" s="5">
        <v>2</v>
      </c>
      <c r="AF360" s="5">
        <v>24</v>
      </c>
      <c r="AG360" s="5">
        <v>0</v>
      </c>
      <c r="AH360" s="5">
        <v>36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8" t="s">
        <v>383</v>
      </c>
      <c r="AR360" s="5">
        <v>1</v>
      </c>
      <c r="AS360" s="5">
        <v>48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4</v>
      </c>
      <c r="BC360" s="5">
        <v>4</v>
      </c>
      <c r="BD360" s="5">
        <v>1</v>
      </c>
      <c r="BE360" s="5">
        <v>1</v>
      </c>
      <c r="BF360" s="6" t="s">
        <v>68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  <c r="CL360" s="77" t="str">
        <f t="shared" si="10"/>
        <v>SeriesPageTextstx</v>
      </c>
      <c r="CM360" s="79"/>
    </row>
    <row r="361" spans="1:91">
      <c r="A361" s="76" t="str">
        <f t="shared" si="11"/>
        <v>Series Page Text No-Indent (stx1)</v>
      </c>
      <c r="B361" s="5"/>
      <c r="C361" s="5" t="s">
        <v>821</v>
      </c>
      <c r="D361" s="5" t="s">
        <v>1281</v>
      </c>
      <c r="E361" s="5" t="s">
        <v>260</v>
      </c>
      <c r="F361" s="5">
        <v>1</v>
      </c>
      <c r="G361" s="5" t="b">
        <v>0</v>
      </c>
      <c r="H361" s="5">
        <v>1</v>
      </c>
      <c r="I361" s="5" t="s">
        <v>74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2</v>
      </c>
      <c r="AF361" s="5">
        <v>24</v>
      </c>
      <c r="AG361" s="5">
        <v>0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8" t="s">
        <v>383</v>
      </c>
      <c r="AR361" s="5">
        <v>7</v>
      </c>
      <c r="AS361" s="5">
        <v>18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4</v>
      </c>
      <c r="BC361" s="5">
        <v>4</v>
      </c>
      <c r="BD361" s="5">
        <v>1</v>
      </c>
      <c r="BE361" s="5">
        <v>1</v>
      </c>
      <c r="BF361" s="6" t="s">
        <v>68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  <c r="CL361" s="77" t="str">
        <f t="shared" si="10"/>
        <v>SeriesPageTextNo-Indentstx1</v>
      </c>
      <c r="CM361" s="79"/>
    </row>
    <row r="362" spans="1:91">
      <c r="A362" s="76" t="str">
        <f t="shared" si="11"/>
        <v>Sidebar Epigraph - non-verse (sbepi)</v>
      </c>
      <c r="B362" s="5"/>
      <c r="C362" s="5" t="s">
        <v>822</v>
      </c>
      <c r="D362" s="5" t="s">
        <v>1282</v>
      </c>
      <c r="E362" s="5" t="s">
        <v>261</v>
      </c>
      <c r="F362" s="5">
        <v>1</v>
      </c>
      <c r="G362" s="5" t="b">
        <v>0</v>
      </c>
      <c r="H362" s="5">
        <v>1</v>
      </c>
      <c r="I362" s="5" t="s">
        <v>2</v>
      </c>
      <c r="J362" s="5">
        <v>12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45.35</v>
      </c>
      <c r="AB362" s="5">
        <v>18</v>
      </c>
      <c r="AC362" s="5">
        <v>12</v>
      </c>
      <c r="AD362" s="5">
        <v>12</v>
      </c>
      <c r="AE362" s="5">
        <v>1</v>
      </c>
      <c r="AF362" s="5">
        <v>18</v>
      </c>
      <c r="AG362" s="5">
        <v>0</v>
      </c>
      <c r="AH362" s="5">
        <v>0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9" t="s">
        <v>262</v>
      </c>
      <c r="AR362" s="5">
        <v>1</v>
      </c>
      <c r="AS362" s="5">
        <v>18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31</v>
      </c>
      <c r="BC362" s="5">
        <v>4</v>
      </c>
      <c r="BD362" s="5">
        <v>1</v>
      </c>
      <c r="BE362" s="5">
        <v>1</v>
      </c>
      <c r="BF362" s="50" t="s">
        <v>373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  <c r="BP362" s="8" t="s">
        <v>1472</v>
      </c>
      <c r="BQ362" s="8" t="s">
        <v>1473</v>
      </c>
      <c r="BY362" s="8" t="b">
        <v>1</v>
      </c>
      <c r="CL362" s="77" t="str">
        <f t="shared" si="10"/>
        <v>SidebarEpigraph-non-versesbepi</v>
      </c>
      <c r="CM362" s="79"/>
    </row>
    <row r="363" spans="1:91">
      <c r="A363" s="76" t="str">
        <f t="shared" si="11"/>
        <v>Sidebar Epigraph - verse (sbepiv)</v>
      </c>
      <c r="B363" s="5"/>
      <c r="C363" s="5" t="s">
        <v>823</v>
      </c>
      <c r="D363" s="5" t="s">
        <v>1283</v>
      </c>
      <c r="E363" s="5" t="s">
        <v>263</v>
      </c>
      <c r="F363" s="5">
        <v>1</v>
      </c>
      <c r="G363" s="5" t="b">
        <v>0</v>
      </c>
      <c r="H363" s="5">
        <v>1</v>
      </c>
      <c r="I363" s="5" t="s">
        <v>2</v>
      </c>
      <c r="J363" s="5">
        <v>12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1</v>
      </c>
      <c r="Y363" s="5" t="b">
        <v>0</v>
      </c>
      <c r="Z363" s="5" t="b">
        <v>0</v>
      </c>
      <c r="AA363" s="5">
        <v>81.349999999999994</v>
      </c>
      <c r="AB363" s="5">
        <v>18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-36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9" t="s">
        <v>262</v>
      </c>
      <c r="AR363" s="5">
        <v>1</v>
      </c>
      <c r="AS363" s="5">
        <v>8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31</v>
      </c>
      <c r="BC363" s="5">
        <v>4</v>
      </c>
      <c r="BD363" s="5">
        <v>1</v>
      </c>
      <c r="BE363" s="5">
        <v>1</v>
      </c>
      <c r="BF363" s="50" t="s">
        <v>373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  <c r="BP363" s="8" t="s">
        <v>1472</v>
      </c>
      <c r="BQ363" s="8" t="s">
        <v>1473</v>
      </c>
      <c r="BY363" s="8" t="b">
        <v>1</v>
      </c>
      <c r="CL363" s="77" t="str">
        <f t="shared" si="10"/>
        <v>SidebarEpigraph-versesbepiv</v>
      </c>
      <c r="CM363" s="79"/>
    </row>
    <row r="364" spans="1:91">
      <c r="A364" s="76" t="str">
        <f t="shared" si="11"/>
        <v>Sidebar Epigraph Source (sbeps)</v>
      </c>
      <c r="B364" s="5"/>
      <c r="C364" s="5" t="s">
        <v>824</v>
      </c>
      <c r="D364" s="5" t="s">
        <v>1284</v>
      </c>
      <c r="E364" s="5" t="s">
        <v>271</v>
      </c>
      <c r="F364" s="5">
        <v>1</v>
      </c>
      <c r="G364" s="5" t="b">
        <v>0</v>
      </c>
      <c r="H364" s="5">
        <v>1</v>
      </c>
      <c r="I364" s="5" t="s">
        <v>74</v>
      </c>
      <c r="J364" s="5">
        <v>12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45</v>
      </c>
      <c r="AB364" s="5">
        <v>18</v>
      </c>
      <c r="AC364" s="5">
        <v>0</v>
      </c>
      <c r="AD364" s="5">
        <v>0</v>
      </c>
      <c r="AE364" s="5">
        <v>2</v>
      </c>
      <c r="AF364" s="5">
        <v>24</v>
      </c>
      <c r="AG364" s="5">
        <v>2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49" t="s">
        <v>262</v>
      </c>
      <c r="AR364" s="5">
        <v>4</v>
      </c>
      <c r="AS364" s="5">
        <v>4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31</v>
      </c>
      <c r="BC364" s="5">
        <v>4</v>
      </c>
      <c r="BD364" s="5">
        <v>1</v>
      </c>
      <c r="BE364" s="5">
        <v>1</v>
      </c>
      <c r="BF364" s="50" t="s">
        <v>373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  <c r="BP364" s="8" t="s">
        <v>1472</v>
      </c>
      <c r="BQ364" s="8" t="s">
        <v>1473</v>
      </c>
      <c r="BY364" s="8" t="b">
        <v>1</v>
      </c>
      <c r="CL364" s="77" t="str">
        <f t="shared" si="10"/>
        <v>SidebarEpigraphSourcesbeps</v>
      </c>
      <c r="CM364" s="79"/>
    </row>
    <row r="365" spans="1:91">
      <c r="A365" s="76" t="str">
        <f t="shared" si="11"/>
        <v>Sidebar Extract - Verse (sbextv)</v>
      </c>
      <c r="B365" s="5"/>
      <c r="C365" s="5" t="s">
        <v>825</v>
      </c>
      <c r="D365" s="5" t="s">
        <v>1285</v>
      </c>
      <c r="E365" s="5" t="s">
        <v>264</v>
      </c>
      <c r="F365" s="5">
        <v>1</v>
      </c>
      <c r="G365" s="5" t="b">
        <v>0</v>
      </c>
      <c r="H365" s="5">
        <v>1</v>
      </c>
      <c r="I365" s="5" t="s">
        <v>2</v>
      </c>
      <c r="J365" s="5">
        <v>10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0</v>
      </c>
      <c r="Y365" s="5" t="b">
        <v>0</v>
      </c>
      <c r="Z365" s="5" t="b">
        <v>0</v>
      </c>
      <c r="AA365" s="5">
        <v>63.35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-18</v>
      </c>
      <c r="AI365" s="5">
        <v>10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49" t="s">
        <v>262</v>
      </c>
      <c r="AR365" s="5">
        <v>9</v>
      </c>
      <c r="AS365" s="5">
        <v>24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31</v>
      </c>
      <c r="BC365" s="5">
        <v>4</v>
      </c>
      <c r="BD365" s="5">
        <v>1</v>
      </c>
      <c r="BE365" s="5">
        <v>1</v>
      </c>
      <c r="BF365" s="50" t="s">
        <v>373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  <c r="BP365" s="8" t="s">
        <v>1472</v>
      </c>
      <c r="BQ365" s="8" t="s">
        <v>1473</v>
      </c>
      <c r="BY365" s="8" t="b">
        <v>1</v>
      </c>
      <c r="CL365" s="77" t="str">
        <f t="shared" si="10"/>
        <v>SidebarExtract-Versesbextv</v>
      </c>
      <c r="CM365" s="79"/>
    </row>
    <row r="366" spans="1:91">
      <c r="A366" s="76" t="str">
        <f t="shared" si="11"/>
        <v>Sidebar Extract (sbext)</v>
      </c>
      <c r="B366" s="5"/>
      <c r="C366" s="5" t="s">
        <v>826</v>
      </c>
      <c r="D366" s="5" t="s">
        <v>1286</v>
      </c>
      <c r="E366" s="5" t="s">
        <v>265</v>
      </c>
      <c r="F366" s="5">
        <v>1</v>
      </c>
      <c r="G366" s="5" t="b">
        <v>0</v>
      </c>
      <c r="H366" s="5">
        <v>1</v>
      </c>
      <c r="I366" s="5" t="s">
        <v>2</v>
      </c>
      <c r="J366" s="5">
        <v>10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45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0</v>
      </c>
      <c r="AH366" s="5">
        <v>0</v>
      </c>
      <c r="AI366" s="5">
        <v>10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49" t="s">
        <v>262</v>
      </c>
      <c r="AR366" s="5">
        <v>3</v>
      </c>
      <c r="AS366" s="5">
        <v>24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31</v>
      </c>
      <c r="BC366" s="5">
        <v>4</v>
      </c>
      <c r="BD366" s="5">
        <v>1</v>
      </c>
      <c r="BE366" s="5">
        <v>1</v>
      </c>
      <c r="BF366" s="50" t="s">
        <v>373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  <c r="BP366" s="8" t="s">
        <v>1472</v>
      </c>
      <c r="BQ366" s="8" t="s">
        <v>1473</v>
      </c>
      <c r="BY366" s="8" t="b">
        <v>1</v>
      </c>
      <c r="CL366" s="77" t="str">
        <f t="shared" si="10"/>
        <v>SidebarExtractsbext</v>
      </c>
      <c r="CM366" s="79"/>
    </row>
    <row r="367" spans="1:91">
      <c r="A367" s="76" t="str">
        <f t="shared" si="11"/>
        <v>Sidebar Footnote (sbfn)</v>
      </c>
      <c r="B367" s="5"/>
      <c r="C367" s="5" t="s">
        <v>827</v>
      </c>
      <c r="D367" s="5" t="s">
        <v>1287</v>
      </c>
      <c r="E367" s="5" t="s">
        <v>266</v>
      </c>
      <c r="F367" s="5">
        <v>1</v>
      </c>
      <c r="G367" s="5" t="b">
        <v>0</v>
      </c>
      <c r="H367" s="5">
        <v>1</v>
      </c>
      <c r="I367" s="5" t="s">
        <v>74</v>
      </c>
      <c r="J367" s="5">
        <v>10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18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0</v>
      </c>
      <c r="AI367" s="5">
        <v>10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49" t="s">
        <v>262</v>
      </c>
      <c r="AR367" s="5">
        <v>1</v>
      </c>
      <c r="AS367" s="5">
        <v>24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4</v>
      </c>
      <c r="BC367" s="5">
        <v>4</v>
      </c>
      <c r="BD367" s="5">
        <v>1</v>
      </c>
      <c r="BE367" s="5">
        <v>1</v>
      </c>
      <c r="BF367" s="50" t="s">
        <v>373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  <c r="BP367" s="8" t="s">
        <v>1472</v>
      </c>
      <c r="BQ367" s="8" t="s">
        <v>1473</v>
      </c>
      <c r="BY367" s="8" t="b">
        <v>1</v>
      </c>
      <c r="CL367" s="77" t="str">
        <f t="shared" si="10"/>
        <v>SidebarFootnotesbfn</v>
      </c>
      <c r="CM367" s="79"/>
    </row>
    <row r="368" spans="1:91">
      <c r="A368" s="76" t="str">
        <f t="shared" si="11"/>
        <v>Sidebar Head - Level-1 (sbh1)</v>
      </c>
      <c r="B368" s="5"/>
      <c r="C368" s="5" t="s">
        <v>828</v>
      </c>
      <c r="D368" s="5" t="s">
        <v>1288</v>
      </c>
      <c r="E368" s="5" t="s">
        <v>271</v>
      </c>
      <c r="F368" s="5">
        <v>1</v>
      </c>
      <c r="G368" s="5" t="b">
        <v>0</v>
      </c>
      <c r="H368" s="5">
        <v>1</v>
      </c>
      <c r="I368" s="5" t="s">
        <v>4</v>
      </c>
      <c r="J368" s="5">
        <v>16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18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5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49" t="s">
        <v>262</v>
      </c>
      <c r="AR368" s="5">
        <v>8</v>
      </c>
      <c r="AS368" s="5">
        <v>12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4</v>
      </c>
      <c r="BC368" s="5">
        <v>4</v>
      </c>
      <c r="BD368" s="5">
        <v>1</v>
      </c>
      <c r="BE368" s="5">
        <v>1</v>
      </c>
      <c r="BF368" s="50" t="s">
        <v>373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  <c r="BP368" s="8" t="s">
        <v>1472</v>
      </c>
      <c r="BQ368" s="8" t="s">
        <v>1473</v>
      </c>
      <c r="BY368" s="8" t="b">
        <v>1</v>
      </c>
      <c r="CL368" s="77" t="str">
        <f t="shared" si="10"/>
        <v>SidebarHead-Level-1sbh1</v>
      </c>
      <c r="CM368" s="79"/>
    </row>
    <row r="369" spans="1:91">
      <c r="A369" s="76" t="str">
        <f t="shared" si="11"/>
        <v>Sidebar Head - Level-2 (sbh2)</v>
      </c>
      <c r="B369" s="5"/>
      <c r="C369" s="5" t="s">
        <v>829</v>
      </c>
      <c r="D369" s="5" t="s">
        <v>1289</v>
      </c>
      <c r="E369" s="5" t="s">
        <v>271</v>
      </c>
      <c r="F369" s="5">
        <v>1</v>
      </c>
      <c r="G369" s="5" t="b">
        <v>0</v>
      </c>
      <c r="H369" s="5">
        <v>1</v>
      </c>
      <c r="I369" s="5" t="s">
        <v>2</v>
      </c>
      <c r="J369" s="5">
        <v>16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6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49" t="s">
        <v>262</v>
      </c>
      <c r="AR369" s="5">
        <v>15</v>
      </c>
      <c r="AS369" s="5">
        <v>36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50" t="s">
        <v>373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  <c r="BP369" s="8" t="s">
        <v>1472</v>
      </c>
      <c r="BQ369" s="8" t="s">
        <v>1473</v>
      </c>
      <c r="BY369" s="8" t="b">
        <v>1</v>
      </c>
      <c r="CL369" s="77" t="str">
        <f t="shared" si="10"/>
        <v>SidebarHead-Level-2sbh2</v>
      </c>
      <c r="CM369" s="79"/>
    </row>
    <row r="370" spans="1:91">
      <c r="A370" s="76" t="str">
        <f t="shared" si="11"/>
        <v>Sidebar Head - Level-3 (sbh3)</v>
      </c>
      <c r="B370" s="5"/>
      <c r="C370" s="5" t="s">
        <v>830</v>
      </c>
      <c r="D370" s="5" t="s">
        <v>1290</v>
      </c>
      <c r="E370" s="5" t="s">
        <v>271</v>
      </c>
      <c r="F370" s="5">
        <v>1</v>
      </c>
      <c r="G370" s="5" t="b">
        <v>0</v>
      </c>
      <c r="H370" s="5">
        <v>1</v>
      </c>
      <c r="I370" s="5" t="s">
        <v>84</v>
      </c>
      <c r="J370" s="5">
        <v>16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0</v>
      </c>
      <c r="AH370" s="5">
        <v>0</v>
      </c>
      <c r="AI370" s="5">
        <v>7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49" t="s">
        <v>262</v>
      </c>
      <c r="AR370" s="5">
        <v>16</v>
      </c>
      <c r="AS370" s="5">
        <v>36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50" t="s">
        <v>373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  <c r="BP370" s="8" t="s">
        <v>1472</v>
      </c>
      <c r="BQ370" s="8" t="s">
        <v>1473</v>
      </c>
      <c r="BY370" s="8" t="b">
        <v>1</v>
      </c>
      <c r="CL370" s="77" t="str">
        <f t="shared" si="10"/>
        <v>SidebarHead-Level-3sbh3</v>
      </c>
      <c r="CM370" s="79"/>
    </row>
    <row r="371" spans="1:91">
      <c r="A371" s="76" t="str">
        <f t="shared" si="11"/>
        <v>Sidebar Head - Level-4 (sbh4)</v>
      </c>
      <c r="B371" s="5"/>
      <c r="C371" s="5" t="s">
        <v>831</v>
      </c>
      <c r="D371" s="5" t="s">
        <v>1291</v>
      </c>
      <c r="E371" s="5" t="s">
        <v>271</v>
      </c>
      <c r="F371" s="5">
        <v>1</v>
      </c>
      <c r="G371" s="5" t="b">
        <v>0</v>
      </c>
      <c r="H371" s="5">
        <v>1</v>
      </c>
      <c r="I371" s="5" t="s">
        <v>4</v>
      </c>
      <c r="J371" s="5">
        <v>14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0</v>
      </c>
      <c r="Y371" s="5" t="b">
        <v>0</v>
      </c>
      <c r="Z371" s="5" t="b">
        <v>0</v>
      </c>
      <c r="AA371" s="5">
        <v>18</v>
      </c>
      <c r="AB371" s="5">
        <v>18</v>
      </c>
      <c r="AC371" s="5">
        <v>0</v>
      </c>
      <c r="AD371" s="5">
        <v>0</v>
      </c>
      <c r="AE371" s="5">
        <v>2</v>
      </c>
      <c r="AF371" s="5">
        <v>24</v>
      </c>
      <c r="AG371" s="5">
        <v>0</v>
      </c>
      <c r="AH371" s="5">
        <v>0</v>
      </c>
      <c r="AI371" s="5">
        <v>8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49" t="s">
        <v>262</v>
      </c>
      <c r="AR371" s="5">
        <v>1</v>
      </c>
      <c r="AS371" s="5">
        <v>24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4</v>
      </c>
      <c r="BC371" s="5">
        <v>4</v>
      </c>
      <c r="BD371" s="5">
        <v>1</v>
      </c>
      <c r="BE371" s="5">
        <v>1</v>
      </c>
      <c r="BF371" s="50" t="s">
        <v>373</v>
      </c>
      <c r="BG371" s="6"/>
      <c r="BH371" s="5"/>
      <c r="BI371" s="5"/>
      <c r="BJ371" s="6"/>
      <c r="BK371" s="5" t="s">
        <v>1</v>
      </c>
      <c r="BL371" s="5">
        <v>0</v>
      </c>
      <c r="BM371" s="5" t="b">
        <v>0</v>
      </c>
      <c r="BP371" s="8" t="s">
        <v>1472</v>
      </c>
      <c r="BQ371" s="8" t="s">
        <v>1473</v>
      </c>
      <c r="BY371" s="8" t="b">
        <v>1</v>
      </c>
      <c r="CL371" s="77" t="str">
        <f t="shared" si="10"/>
        <v>SidebarHead-Level-4sbh4</v>
      </c>
      <c r="CM371" s="79"/>
    </row>
    <row r="372" spans="1:91">
      <c r="A372" s="76" t="str">
        <f t="shared" si="11"/>
        <v>Sidebar Head - Level-5 (sbh5)</v>
      </c>
      <c r="B372" s="5"/>
      <c r="C372" s="5" t="s">
        <v>832</v>
      </c>
      <c r="D372" s="5" t="s">
        <v>1292</v>
      </c>
      <c r="E372" s="5" t="s">
        <v>271</v>
      </c>
      <c r="F372" s="5">
        <v>1</v>
      </c>
      <c r="G372" s="5" t="b">
        <v>0</v>
      </c>
      <c r="H372" s="5">
        <v>1</v>
      </c>
      <c r="I372" s="5" t="s">
        <v>2</v>
      </c>
      <c r="J372" s="5">
        <v>14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0</v>
      </c>
      <c r="Y372" s="5" t="b">
        <v>0</v>
      </c>
      <c r="Z372" s="5" t="b">
        <v>0</v>
      </c>
      <c r="AA372" s="5">
        <v>18</v>
      </c>
      <c r="AB372" s="5">
        <v>18</v>
      </c>
      <c r="AC372" s="5">
        <v>0</v>
      </c>
      <c r="AD372" s="5">
        <v>0</v>
      </c>
      <c r="AE372" s="5">
        <v>2</v>
      </c>
      <c r="AF372" s="5">
        <v>24</v>
      </c>
      <c r="AG372" s="5">
        <v>0</v>
      </c>
      <c r="AH372" s="5">
        <v>0</v>
      </c>
      <c r="AI372" s="5">
        <v>9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49" t="s">
        <v>262</v>
      </c>
      <c r="AR372" s="5">
        <v>1</v>
      </c>
      <c r="AS372" s="5">
        <v>8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4</v>
      </c>
      <c r="BC372" s="5">
        <v>4</v>
      </c>
      <c r="BD372" s="5">
        <v>1</v>
      </c>
      <c r="BE372" s="5">
        <v>1</v>
      </c>
      <c r="BF372" s="50" t="s">
        <v>373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  <c r="BP372" s="8" t="s">
        <v>1472</v>
      </c>
      <c r="BQ372" s="8" t="s">
        <v>1473</v>
      </c>
      <c r="BY372" s="8" t="b">
        <v>1</v>
      </c>
      <c r="CL372" s="77" t="str">
        <f t="shared" si="10"/>
        <v>SidebarHead-Level-5sbh5</v>
      </c>
      <c r="CM372" s="79"/>
    </row>
    <row r="373" spans="1:91">
      <c r="A373" s="76" t="str">
        <f t="shared" si="11"/>
        <v>Sidebar Head (sbh)</v>
      </c>
      <c r="B373" s="5"/>
      <c r="C373" s="5" t="s">
        <v>833</v>
      </c>
      <c r="D373" s="5" t="s">
        <v>1293</v>
      </c>
      <c r="E373" s="5" t="s">
        <v>271</v>
      </c>
      <c r="F373" s="5">
        <v>1</v>
      </c>
      <c r="G373" s="5" t="b">
        <v>0</v>
      </c>
      <c r="H373" s="5">
        <v>1</v>
      </c>
      <c r="I373" s="5" t="s">
        <v>84</v>
      </c>
      <c r="J373" s="5">
        <v>20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0</v>
      </c>
      <c r="Y373" s="5" t="b">
        <v>0</v>
      </c>
      <c r="Z373" s="5" t="b">
        <v>0</v>
      </c>
      <c r="AA373" s="5">
        <v>18</v>
      </c>
      <c r="AB373" s="5">
        <v>18</v>
      </c>
      <c r="AC373" s="5">
        <v>0</v>
      </c>
      <c r="AD373" s="5">
        <v>0</v>
      </c>
      <c r="AE373" s="5">
        <v>2</v>
      </c>
      <c r="AF373" s="5">
        <v>24</v>
      </c>
      <c r="AG373" s="5">
        <v>1</v>
      </c>
      <c r="AH373" s="5">
        <v>0</v>
      </c>
      <c r="AI373" s="5">
        <v>4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49" t="s">
        <v>262</v>
      </c>
      <c r="AR373" s="5">
        <v>2</v>
      </c>
      <c r="AS373" s="5">
        <v>48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4</v>
      </c>
      <c r="BC373" s="5">
        <v>4</v>
      </c>
      <c r="BD373" s="5">
        <v>1</v>
      </c>
      <c r="BE373" s="5">
        <v>1</v>
      </c>
      <c r="BF373" s="50" t="s">
        <v>373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  <c r="BP373" s="8" t="s">
        <v>1472</v>
      </c>
      <c r="BQ373" s="8" t="s">
        <v>1473</v>
      </c>
      <c r="BY373" s="8" t="b">
        <v>1</v>
      </c>
      <c r="CL373" s="77" t="str">
        <f t="shared" si="10"/>
        <v>SidebarHeadsbh</v>
      </c>
      <c r="CM373" s="79"/>
    </row>
    <row r="374" spans="1:91">
      <c r="A374" s="76" t="str">
        <f t="shared" si="11"/>
        <v>Sidebar List Bullet (sbbl)</v>
      </c>
      <c r="B374" s="5"/>
      <c r="C374" s="5" t="s">
        <v>834</v>
      </c>
      <c r="D374" s="5" t="s">
        <v>1294</v>
      </c>
      <c r="E374" s="5" t="s">
        <v>267</v>
      </c>
      <c r="F374" s="5">
        <v>1</v>
      </c>
      <c r="G374" s="5" t="b">
        <v>0</v>
      </c>
      <c r="H374" s="5">
        <v>1</v>
      </c>
      <c r="I374" s="5" t="s">
        <v>74</v>
      </c>
      <c r="J374" s="5">
        <v>12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1</v>
      </c>
      <c r="Y374" s="5" t="b">
        <v>1</v>
      </c>
      <c r="Z374" s="5" t="b">
        <v>0</v>
      </c>
      <c r="AA374" s="5">
        <v>63</v>
      </c>
      <c r="AB374" s="5">
        <v>18</v>
      </c>
      <c r="AC374" s="5">
        <v>12</v>
      </c>
      <c r="AD374" s="5">
        <v>12</v>
      </c>
      <c r="AE374" s="5">
        <v>2</v>
      </c>
      <c r="AF374" s="5">
        <v>24</v>
      </c>
      <c r="AG374" s="5">
        <v>0</v>
      </c>
      <c r="AH374" s="5">
        <v>-18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49" t="s">
        <v>262</v>
      </c>
      <c r="AR374" s="5">
        <v>19</v>
      </c>
      <c r="AS374" s="5">
        <v>6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31</v>
      </c>
      <c r="BC374" s="5">
        <v>4</v>
      </c>
      <c r="BD374" s="5">
        <v>1</v>
      </c>
      <c r="BE374" s="5">
        <v>1</v>
      </c>
      <c r="BF374" s="50" t="s">
        <v>373</v>
      </c>
      <c r="BG374" s="6"/>
      <c r="BH374" s="5"/>
      <c r="BI374" s="5"/>
      <c r="BJ374" s="6"/>
      <c r="BK374" s="5" t="s">
        <v>1</v>
      </c>
      <c r="BL374" s="5">
        <v>1</v>
      </c>
      <c r="BM374" s="5" t="b">
        <v>0</v>
      </c>
      <c r="BN374" s="8" t="s">
        <v>1469</v>
      </c>
      <c r="BO374" s="8" t="s">
        <v>1206</v>
      </c>
      <c r="BP374" s="8" t="s">
        <v>1472</v>
      </c>
      <c r="BQ374" s="8" t="s">
        <v>1473</v>
      </c>
      <c r="BY374" s="8" t="b">
        <v>1</v>
      </c>
      <c r="CD374" s="8" t="b">
        <v>1</v>
      </c>
      <c r="CL374" s="77" t="str">
        <f t="shared" si="10"/>
        <v>SidebarListBulletsbbl</v>
      </c>
      <c r="CM374" s="79"/>
    </row>
    <row r="375" spans="1:91">
      <c r="A375" s="76" t="str">
        <f t="shared" si="11"/>
        <v>Sidebar List Num (sbnl)</v>
      </c>
      <c r="B375" s="5"/>
      <c r="C375" s="5" t="s">
        <v>835</v>
      </c>
      <c r="D375" s="5" t="s">
        <v>1295</v>
      </c>
      <c r="E375" s="5" t="s">
        <v>268</v>
      </c>
      <c r="F375" s="5">
        <v>1</v>
      </c>
      <c r="G375" s="5" t="b">
        <v>0</v>
      </c>
      <c r="H375" s="5">
        <v>1</v>
      </c>
      <c r="I375" s="5" t="s">
        <v>74</v>
      </c>
      <c r="J375" s="5">
        <v>12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1</v>
      </c>
      <c r="Y375" s="5" t="b">
        <v>0</v>
      </c>
      <c r="Z375" s="5" t="b">
        <v>0</v>
      </c>
      <c r="AA375" s="5">
        <v>63.35</v>
      </c>
      <c r="AB375" s="5">
        <v>18</v>
      </c>
      <c r="AC375" s="5">
        <v>12</v>
      </c>
      <c r="AD375" s="5">
        <v>12</v>
      </c>
      <c r="AE375" s="5">
        <v>2</v>
      </c>
      <c r="AF375" s="5">
        <v>24</v>
      </c>
      <c r="AG375" s="5">
        <v>0</v>
      </c>
      <c r="AH375" s="5">
        <v>-18</v>
      </c>
      <c r="AI375" s="5">
        <v>10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49" t="s">
        <v>262</v>
      </c>
      <c r="AR375" s="5">
        <v>18</v>
      </c>
      <c r="AS375" s="5">
        <v>12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31</v>
      </c>
      <c r="BC375" s="5">
        <v>4</v>
      </c>
      <c r="BD375" s="5">
        <v>1</v>
      </c>
      <c r="BE375" s="5">
        <v>1</v>
      </c>
      <c r="BF375" s="50" t="s">
        <v>373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  <c r="BN375" s="8" t="s">
        <v>1469</v>
      </c>
      <c r="BO375" s="8" t="s">
        <v>1470</v>
      </c>
      <c r="BP375" s="8" t="s">
        <v>1472</v>
      </c>
      <c r="BQ375" s="8" t="s">
        <v>1473</v>
      </c>
      <c r="BY375" s="8" t="b">
        <v>1</v>
      </c>
      <c r="CE375" s="8" t="b">
        <v>1</v>
      </c>
      <c r="CL375" s="77" t="str">
        <f t="shared" si="10"/>
        <v>SidebarListNumsbnl</v>
      </c>
      <c r="CM375" s="79"/>
    </row>
    <row r="376" spans="1:91">
      <c r="A376" s="76" t="str">
        <f t="shared" si="11"/>
        <v>Sidebar List Unnum (sbul)</v>
      </c>
      <c r="B376" s="5"/>
      <c r="C376" s="5" t="s">
        <v>836</v>
      </c>
      <c r="D376" s="5" t="s">
        <v>1296</v>
      </c>
      <c r="E376" s="5" t="s">
        <v>269</v>
      </c>
      <c r="F376" s="5">
        <v>1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1</v>
      </c>
      <c r="Y376" s="5" t="b">
        <v>0</v>
      </c>
      <c r="Z376" s="5" t="b">
        <v>0</v>
      </c>
      <c r="AA376" s="5">
        <v>45</v>
      </c>
      <c r="AB376" s="5">
        <v>18</v>
      </c>
      <c r="AC376" s="5">
        <v>12</v>
      </c>
      <c r="AD376" s="5">
        <v>12</v>
      </c>
      <c r="AE376" s="5">
        <v>2</v>
      </c>
      <c r="AF376" s="5">
        <v>24</v>
      </c>
      <c r="AG376" s="5">
        <v>0</v>
      </c>
      <c r="AH376" s="5">
        <v>0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49" t="s">
        <v>262</v>
      </c>
      <c r="AR376" s="5">
        <v>7</v>
      </c>
      <c r="AS376" s="5">
        <v>12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31</v>
      </c>
      <c r="BC376" s="5">
        <v>4</v>
      </c>
      <c r="BD376" s="5">
        <v>1</v>
      </c>
      <c r="BE376" s="5">
        <v>1</v>
      </c>
      <c r="BF376" s="50" t="s">
        <v>373</v>
      </c>
      <c r="BG376" s="6"/>
      <c r="BH376" s="5"/>
      <c r="BI376" s="5"/>
      <c r="BJ376" s="6"/>
      <c r="BK376" s="5" t="s">
        <v>1</v>
      </c>
      <c r="BL376" s="5">
        <v>0</v>
      </c>
      <c r="BM376" s="5" t="b">
        <v>0</v>
      </c>
      <c r="BP376" s="8" t="s">
        <v>1472</v>
      </c>
      <c r="BQ376" s="8" t="s">
        <v>1473</v>
      </c>
      <c r="BY376" s="8" t="b">
        <v>1</v>
      </c>
      <c r="CL376" s="77" t="str">
        <f t="shared" si="10"/>
        <v>SidebarListUnnumsbul</v>
      </c>
      <c r="CM376" s="79"/>
    </row>
    <row r="377" spans="1:91">
      <c r="A377" s="76" t="str">
        <f t="shared" si="11"/>
        <v>Sidebar Source Note (sbsn)</v>
      </c>
      <c r="B377" s="5"/>
      <c r="C377" s="5" t="s">
        <v>837</v>
      </c>
      <c r="D377" s="5" t="s">
        <v>1297</v>
      </c>
      <c r="E377" s="5" t="s">
        <v>271</v>
      </c>
      <c r="F377" s="5">
        <v>1</v>
      </c>
      <c r="G377" s="5" t="b">
        <v>0</v>
      </c>
      <c r="H377" s="5">
        <v>1</v>
      </c>
      <c r="I377" s="5" t="s">
        <v>2</v>
      </c>
      <c r="J377" s="5">
        <v>10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18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0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49" t="s">
        <v>262</v>
      </c>
      <c r="AR377" s="5">
        <v>1</v>
      </c>
      <c r="AS377" s="5">
        <v>24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4</v>
      </c>
      <c r="BC377" s="5">
        <v>4</v>
      </c>
      <c r="BD377" s="5">
        <v>1</v>
      </c>
      <c r="BE377" s="5">
        <v>1</v>
      </c>
      <c r="BF377" s="50" t="s">
        <v>373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  <c r="BP377" s="8" t="s">
        <v>1472</v>
      </c>
      <c r="BQ377" s="8" t="s">
        <v>1473</v>
      </c>
      <c r="BY377" s="8" t="b">
        <v>1</v>
      </c>
      <c r="CL377" s="77" t="str">
        <f t="shared" si="10"/>
        <v>SidebarSourceNotesbsn</v>
      </c>
      <c r="CM377" s="79"/>
    </row>
    <row r="378" spans="1:91">
      <c r="A378" s="76" t="str">
        <f t="shared" si="11"/>
        <v>Sidebar Subhead (sbsh)</v>
      </c>
      <c r="B378" s="5"/>
      <c r="C378" s="5" t="s">
        <v>838</v>
      </c>
      <c r="D378" s="5" t="s">
        <v>1298</v>
      </c>
      <c r="E378" s="5" t="s">
        <v>271</v>
      </c>
      <c r="F378" s="5">
        <v>1</v>
      </c>
      <c r="G378" s="5" t="b">
        <v>0</v>
      </c>
      <c r="H378" s="5">
        <v>1</v>
      </c>
      <c r="I378" s="5" t="s">
        <v>74</v>
      </c>
      <c r="J378" s="5">
        <v>18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0</v>
      </c>
      <c r="T378" s="5" t="b">
        <v>0</v>
      </c>
      <c r="U378" s="5" t="b">
        <v>0</v>
      </c>
      <c r="V378" s="5" t="b">
        <v>0</v>
      </c>
      <c r="W378" s="5"/>
      <c r="X378" s="5" t="b">
        <v>0</v>
      </c>
      <c r="Y378" s="5" t="b">
        <v>0</v>
      </c>
      <c r="Z378" s="5" t="b">
        <v>0</v>
      </c>
      <c r="AA378" s="5">
        <v>18</v>
      </c>
      <c r="AB378" s="5">
        <v>18</v>
      </c>
      <c r="AC378" s="5">
        <v>0</v>
      </c>
      <c r="AD378" s="5">
        <v>0</v>
      </c>
      <c r="AE378" s="5">
        <v>2</v>
      </c>
      <c r="AF378" s="5">
        <v>24</v>
      </c>
      <c r="AG378" s="5">
        <v>1</v>
      </c>
      <c r="AH378" s="5">
        <v>0</v>
      </c>
      <c r="AI378" s="5">
        <v>4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49" t="s">
        <v>262</v>
      </c>
      <c r="AR378" s="5">
        <v>1</v>
      </c>
      <c r="AS378" s="5">
        <v>24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4</v>
      </c>
      <c r="BC378" s="5">
        <v>4</v>
      </c>
      <c r="BD378" s="5">
        <v>1</v>
      </c>
      <c r="BE378" s="5">
        <v>1</v>
      </c>
      <c r="BF378" s="50" t="s">
        <v>373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  <c r="BP378" s="8" t="s">
        <v>1472</v>
      </c>
      <c r="BQ378" s="8" t="s">
        <v>1473</v>
      </c>
      <c r="BY378" s="8" t="b">
        <v>1</v>
      </c>
      <c r="CL378" s="77" t="str">
        <f t="shared" si="10"/>
        <v>SidebarSubheadsbsh</v>
      </c>
      <c r="CM378" s="79"/>
    </row>
    <row r="379" spans="1:91">
      <c r="A379" s="76" t="str">
        <f t="shared" si="11"/>
        <v>Sidebar Text (sbtx)</v>
      </c>
      <c r="B379" s="5"/>
      <c r="C379" s="5" t="s">
        <v>839</v>
      </c>
      <c r="D379" s="5" t="s">
        <v>1299</v>
      </c>
      <c r="E379" s="5" t="s">
        <v>270</v>
      </c>
      <c r="F379" s="5">
        <v>1</v>
      </c>
      <c r="G379" s="5" t="b">
        <v>0</v>
      </c>
      <c r="H379" s="5">
        <v>1</v>
      </c>
      <c r="I379" s="5" t="s">
        <v>74</v>
      </c>
      <c r="J379" s="5">
        <v>12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18</v>
      </c>
      <c r="AB379" s="5">
        <v>18</v>
      </c>
      <c r="AC379" s="5">
        <v>0</v>
      </c>
      <c r="AD379" s="5">
        <v>0</v>
      </c>
      <c r="AE379" s="5">
        <v>2</v>
      </c>
      <c r="AF379" s="5">
        <v>24</v>
      </c>
      <c r="AG379" s="5">
        <v>0</v>
      </c>
      <c r="AH379" s="5">
        <v>36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49" t="s">
        <v>262</v>
      </c>
      <c r="AR379" s="5">
        <v>1</v>
      </c>
      <c r="AS379" s="5">
        <v>48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50" t="s">
        <v>373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  <c r="BP379" s="8" t="s">
        <v>1472</v>
      </c>
      <c r="BQ379" s="8" t="s">
        <v>1473</v>
      </c>
      <c r="BY379" s="8" t="b">
        <v>1</v>
      </c>
      <c r="CL379" s="77" t="str">
        <f t="shared" si="10"/>
        <v>SidebarTextsbtx</v>
      </c>
      <c r="CM379" s="79"/>
    </row>
    <row r="380" spans="1:91">
      <c r="A380" s="76" t="str">
        <f t="shared" si="11"/>
        <v>Sidebar Text No-Indent (sbtx1)</v>
      </c>
      <c r="B380" s="5"/>
      <c r="C380" s="5" t="s">
        <v>840</v>
      </c>
      <c r="D380" s="5" t="s">
        <v>1300</v>
      </c>
      <c r="E380" s="5" t="s">
        <v>270</v>
      </c>
      <c r="F380" s="5">
        <v>1</v>
      </c>
      <c r="G380" s="5" t="b">
        <v>0</v>
      </c>
      <c r="H380" s="5">
        <v>1</v>
      </c>
      <c r="I380" s="5" t="s">
        <v>74</v>
      </c>
      <c r="J380" s="5">
        <v>12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18</v>
      </c>
      <c r="AB380" s="5">
        <v>18</v>
      </c>
      <c r="AC380" s="5">
        <v>0</v>
      </c>
      <c r="AD380" s="5">
        <v>0</v>
      </c>
      <c r="AE380" s="5">
        <v>2</v>
      </c>
      <c r="AF380" s="5">
        <v>24</v>
      </c>
      <c r="AG380" s="5">
        <v>0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49" t="s">
        <v>262</v>
      </c>
      <c r="AR380" s="5">
        <v>7</v>
      </c>
      <c r="AS380" s="5">
        <v>18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50" t="s">
        <v>373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  <c r="BP380" s="8" t="s">
        <v>1472</v>
      </c>
      <c r="BQ380" s="8" t="s">
        <v>1473</v>
      </c>
      <c r="BY380" s="8" t="b">
        <v>1</v>
      </c>
      <c r="CL380" s="77" t="str">
        <f t="shared" si="10"/>
        <v>SidebarTextNo-Indentsbtx1</v>
      </c>
      <c r="CM380" s="79"/>
    </row>
    <row r="381" spans="1:91">
      <c r="A381" s="76" t="str">
        <f t="shared" si="11"/>
        <v>Space Break - 1-Line (ls1)</v>
      </c>
      <c r="B381" s="5"/>
      <c r="C381" s="5" t="s">
        <v>841</v>
      </c>
      <c r="D381" s="5" t="s">
        <v>1301</v>
      </c>
      <c r="E381" s="5" t="s">
        <v>201</v>
      </c>
      <c r="F381" s="5">
        <v>1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6" t="s">
        <v>68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1</v>
      </c>
      <c r="T381" s="5" t="b">
        <v>0</v>
      </c>
      <c r="U381" s="5" t="b">
        <v>1</v>
      </c>
      <c r="V381" s="5" t="b">
        <v>0</v>
      </c>
      <c r="W381" s="70" t="s">
        <v>411</v>
      </c>
      <c r="X381" s="5" t="b">
        <v>0</v>
      </c>
      <c r="Y381" s="5" t="b">
        <v>0</v>
      </c>
      <c r="Z381" s="5" t="b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0</v>
      </c>
      <c r="AF381" s="5">
        <v>12</v>
      </c>
      <c r="AG381" s="5">
        <v>1</v>
      </c>
      <c r="AH381" s="5">
        <v>0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25" t="s">
        <v>374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25" t="s">
        <v>374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  <c r="CL381" s="77" t="str">
        <f t="shared" si="10"/>
        <v>SpaceBreak-1-Linels1</v>
      </c>
    </row>
    <row r="382" spans="1:91">
      <c r="A382" s="76" t="str">
        <f t="shared" si="11"/>
        <v>Space Break - 2-Line (ls2)</v>
      </c>
      <c r="B382" s="5"/>
      <c r="C382" s="5" t="s">
        <v>842</v>
      </c>
      <c r="D382" s="5" t="s">
        <v>1302</v>
      </c>
      <c r="E382" s="5" t="s">
        <v>201</v>
      </c>
      <c r="F382" s="5">
        <v>1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2</v>
      </c>
      <c r="AF382" s="5">
        <v>24</v>
      </c>
      <c r="AG382" s="5">
        <v>1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25" t="s">
        <v>374</v>
      </c>
      <c r="AR382" s="5">
        <v>1</v>
      </c>
      <c r="AS382" s="5">
        <v>48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25" t="s">
        <v>374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  <c r="CL382" s="77" t="str">
        <f t="shared" si="10"/>
        <v>SpaceBreak-2-Linels2</v>
      </c>
    </row>
    <row r="383" spans="1:91">
      <c r="A383" s="76" t="str">
        <f t="shared" si="11"/>
        <v>Space Break - 3-Line (ls3)</v>
      </c>
      <c r="B383" s="5"/>
      <c r="C383" s="5" t="s">
        <v>843</v>
      </c>
      <c r="D383" s="5" t="s">
        <v>1303</v>
      </c>
      <c r="E383" s="5" t="s">
        <v>201</v>
      </c>
      <c r="F383" s="5">
        <v>1</v>
      </c>
      <c r="G383" s="5" t="b">
        <v>0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0</v>
      </c>
      <c r="T383" s="5" t="b">
        <v>0</v>
      </c>
      <c r="U383" s="5" t="b">
        <v>0</v>
      </c>
      <c r="V383" s="5" t="b">
        <v>0</v>
      </c>
      <c r="W383" s="5"/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5</v>
      </c>
      <c r="AF383" s="5">
        <v>36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5" t="s">
        <v>374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5" t="s">
        <v>374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  <c r="CL383" s="77" t="str">
        <f t="shared" si="10"/>
        <v>SpaceBreak-3-Linels3</v>
      </c>
    </row>
    <row r="384" spans="1:91">
      <c r="A384" s="76" t="str">
        <f t="shared" si="11"/>
        <v>Space Break - Internal (int)</v>
      </c>
      <c r="B384" s="5"/>
      <c r="C384" s="5" t="s">
        <v>844</v>
      </c>
      <c r="D384" s="5" t="s">
        <v>1304</v>
      </c>
      <c r="E384" s="5" t="s">
        <v>201</v>
      </c>
      <c r="F384" s="5">
        <v>1</v>
      </c>
      <c r="G384" s="5" t="b">
        <v>0</v>
      </c>
      <c r="H384" s="5">
        <v>1</v>
      </c>
      <c r="I384" s="5" t="s">
        <v>74</v>
      </c>
      <c r="J384" s="5">
        <v>12</v>
      </c>
      <c r="K384" s="5" t="b">
        <v>0</v>
      </c>
      <c r="L384" s="5" t="b">
        <v>0</v>
      </c>
      <c r="M384" s="51" t="s">
        <v>382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1</v>
      </c>
      <c r="AF384" s="5">
        <v>18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5" t="s">
        <v>374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52" t="s">
        <v>272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  <c r="CI384" s="8" t="b">
        <v>1</v>
      </c>
      <c r="CL384" s="77" t="str">
        <f t="shared" si="10"/>
        <v>SpaceBreak-Internalint</v>
      </c>
    </row>
    <row r="385" spans="1:90">
      <c r="A385" s="76" t="str">
        <f t="shared" si="11"/>
        <v>Space Break - Print Only (#po)</v>
      </c>
      <c r="B385" s="5"/>
      <c r="C385" s="5" t="s">
        <v>845</v>
      </c>
      <c r="D385" s="5" t="s">
        <v>1305</v>
      </c>
      <c r="E385" s="5" t="s">
        <v>201</v>
      </c>
      <c r="F385" s="5">
        <v>1</v>
      </c>
      <c r="G385" s="5" t="b">
        <v>0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5</v>
      </c>
      <c r="AF385" s="5">
        <v>13.8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5" t="s">
        <v>374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5" t="s">
        <v>374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  <c r="CL385" s="77" t="str">
        <f t="shared" si="10"/>
        <v>SpaceBreak-PrintOnlypo</v>
      </c>
    </row>
    <row r="386" spans="1:90">
      <c r="A386" s="76" t="str">
        <f t="shared" si="11"/>
        <v>Space Break (#)</v>
      </c>
      <c r="B386" s="5"/>
      <c r="C386" s="5" t="s">
        <v>846</v>
      </c>
      <c r="D386" s="5" t="s">
        <v>1306</v>
      </c>
      <c r="E386" s="5" t="s">
        <v>201</v>
      </c>
      <c r="F386" s="5">
        <v>1</v>
      </c>
      <c r="G386" s="5" t="b">
        <v>1</v>
      </c>
      <c r="H386" s="5">
        <v>1</v>
      </c>
      <c r="I386" s="5" t="s">
        <v>74</v>
      </c>
      <c r="J386" s="5">
        <v>12</v>
      </c>
      <c r="K386" s="5" t="b">
        <v>0</v>
      </c>
      <c r="L386" s="5" t="b">
        <v>0</v>
      </c>
      <c r="M386" s="6" t="s">
        <v>68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1</v>
      </c>
      <c r="T386" s="5" t="b">
        <v>1</v>
      </c>
      <c r="U386" s="5" t="b">
        <v>1</v>
      </c>
      <c r="V386" s="5" t="b">
        <v>0</v>
      </c>
      <c r="W386" s="70" t="s">
        <v>411</v>
      </c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5</v>
      </c>
      <c r="AF386" s="5">
        <v>13.8</v>
      </c>
      <c r="AG386" s="5">
        <v>1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25" t="s">
        <v>374</v>
      </c>
      <c r="AR386" s="5">
        <v>1</v>
      </c>
      <c r="AS386" s="5">
        <v>48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25" t="s">
        <v>374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  <c r="CL386" s="77" t="str">
        <f t="shared" ref="CL386:CL449" si="12">SUBSTITUTE(SUBSTITUTE(SUBSTITUTE(SUBSTITUTE(A386, "(",""),")","")," ",""),"#","")</f>
        <v>SpaceBreak</v>
      </c>
    </row>
    <row r="387" spans="1:90">
      <c r="A387" s="76" t="str">
        <f t="shared" ref="A387:A450" si="13">IF($D387="","",TRIM($C387)&amp;" "&amp;CHAR(40)&amp;TRIM($D387)&amp;CHAR(41))</f>
        <v>Space Break with ALT Ornament (orn2)</v>
      </c>
      <c r="B387" s="5"/>
      <c r="C387" s="5" t="s">
        <v>847</v>
      </c>
      <c r="D387" s="5" t="s">
        <v>1307</v>
      </c>
      <c r="E387" s="5" t="s">
        <v>201</v>
      </c>
      <c r="F387" s="5">
        <v>1</v>
      </c>
      <c r="G387" s="5" t="b">
        <v>0</v>
      </c>
      <c r="H387" s="5">
        <v>1</v>
      </c>
      <c r="I387" s="5" t="s">
        <v>2</v>
      </c>
      <c r="J387" s="5">
        <v>10.5</v>
      </c>
      <c r="K387" s="5" t="b">
        <v>0</v>
      </c>
      <c r="L387" s="5" t="b">
        <v>0</v>
      </c>
      <c r="M387" s="51" t="s">
        <v>382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0</v>
      </c>
      <c r="AE387" s="5">
        <v>1</v>
      </c>
      <c r="AF387" s="5">
        <v>18</v>
      </c>
      <c r="AG387" s="5">
        <v>1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25" t="s">
        <v>374</v>
      </c>
      <c r="AR387" s="5">
        <v>1</v>
      </c>
      <c r="AS387" s="5">
        <v>48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52" t="s">
        <v>272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  <c r="CL387" s="77" t="str">
        <f t="shared" si="12"/>
        <v>SpaceBreakwithALTOrnamentorn2</v>
      </c>
    </row>
    <row r="388" spans="1:90">
      <c r="A388" s="76" t="str">
        <f t="shared" si="13"/>
        <v>Space Break with Ornament (orn)</v>
      </c>
      <c r="B388" s="5"/>
      <c r="C388" s="5" t="s">
        <v>848</v>
      </c>
      <c r="D388" s="5" t="s">
        <v>1308</v>
      </c>
      <c r="E388" s="5" t="s">
        <v>201</v>
      </c>
      <c r="F388" s="5">
        <v>1</v>
      </c>
      <c r="G388" s="5" t="b">
        <v>1</v>
      </c>
      <c r="H388" s="5">
        <v>1</v>
      </c>
      <c r="I388" s="5" t="s">
        <v>74</v>
      </c>
      <c r="J388" s="5">
        <v>12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0</v>
      </c>
      <c r="AF388" s="5">
        <v>12</v>
      </c>
      <c r="AG388" s="5">
        <v>1</v>
      </c>
      <c r="AH388" s="5">
        <v>0</v>
      </c>
      <c r="AI388" s="5">
        <v>10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25" t="s">
        <v>374</v>
      </c>
      <c r="AR388" s="5">
        <v>1</v>
      </c>
      <c r="AS388" s="5">
        <v>48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25" t="s">
        <v>374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  <c r="CL388" s="77" t="str">
        <f t="shared" si="12"/>
        <v>SpaceBreakwithOrnamentorn</v>
      </c>
    </row>
    <row r="389" spans="1:90">
      <c r="A389" s="76" t="str">
        <f t="shared" si="13"/>
        <v>span accent characters (acc)</v>
      </c>
      <c r="B389" s="5"/>
      <c r="C389" s="5" t="s">
        <v>849</v>
      </c>
      <c r="D389" s="5" t="s">
        <v>1309</v>
      </c>
      <c r="E389" s="5" t="s">
        <v>273</v>
      </c>
      <c r="F389" s="5">
        <v>2</v>
      </c>
      <c r="G389" s="5" t="b">
        <v>0</v>
      </c>
      <c r="H389" s="5">
        <v>2</v>
      </c>
      <c r="I389" s="5" t="s">
        <v>2</v>
      </c>
      <c r="J389" s="5">
        <v>10.5</v>
      </c>
      <c r="K389" s="5" t="b">
        <v>0</v>
      </c>
      <c r="L389" s="5" t="b">
        <v>0</v>
      </c>
      <c r="M389" s="6" t="s">
        <v>68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6"/>
      <c r="AN389" s="5"/>
      <c r="AO389" s="5"/>
      <c r="AP389" s="5"/>
      <c r="AQ389" s="6"/>
      <c r="AR389" s="5"/>
      <c r="AS389" s="5"/>
      <c r="AT389" s="5"/>
      <c r="AU389" s="6"/>
      <c r="AV389" s="5"/>
      <c r="AW389" s="5"/>
      <c r="AX389" s="5"/>
      <c r="AY389" s="6"/>
      <c r="AZ389" s="5"/>
      <c r="BA389" s="5"/>
      <c r="BB389" s="5"/>
      <c r="BC389" s="5"/>
      <c r="BD389" s="5"/>
      <c r="BE389" s="5"/>
      <c r="BF389" s="6"/>
      <c r="BG389" s="6" t="s">
        <v>68</v>
      </c>
      <c r="BH389" s="5">
        <v>0</v>
      </c>
      <c r="BI389" s="5">
        <v>0</v>
      </c>
      <c r="BJ389" s="53" t="s">
        <v>380</v>
      </c>
      <c r="BK389" s="5" t="s">
        <v>101</v>
      </c>
      <c r="BL389" s="5">
        <v>0</v>
      </c>
      <c r="BM389" s="5" t="b">
        <v>0</v>
      </c>
      <c r="BN389" s="8" t="s">
        <v>1477</v>
      </c>
      <c r="CL389" s="77" t="str">
        <f t="shared" si="12"/>
        <v>spanaccentcharactersacc</v>
      </c>
    </row>
    <row r="390" spans="1:90">
      <c r="A390" s="76" t="str">
        <f t="shared" si="13"/>
        <v>span alt font 1 (span1)</v>
      </c>
      <c r="B390" s="5"/>
      <c r="C390" s="5" t="s">
        <v>850</v>
      </c>
      <c r="D390" s="5" t="s">
        <v>1310</v>
      </c>
      <c r="E390" s="5" t="s">
        <v>275</v>
      </c>
      <c r="F390" s="5">
        <v>2</v>
      </c>
      <c r="G390" s="5" t="b">
        <v>0</v>
      </c>
      <c r="H390" s="5">
        <v>2</v>
      </c>
      <c r="I390" s="5" t="s">
        <v>2</v>
      </c>
      <c r="J390" s="5">
        <v>10.5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6"/>
      <c r="AN390" s="5"/>
      <c r="AO390" s="5"/>
      <c r="AP390" s="5"/>
      <c r="AQ390" s="6"/>
      <c r="AR390" s="5"/>
      <c r="AS390" s="5"/>
      <c r="AT390" s="5"/>
      <c r="AU390" s="6"/>
      <c r="AV390" s="5"/>
      <c r="AW390" s="5"/>
      <c r="AX390" s="5"/>
      <c r="AY390" s="6"/>
      <c r="AZ390" s="5"/>
      <c r="BA390" s="5"/>
      <c r="BB390" s="5"/>
      <c r="BC390" s="5"/>
      <c r="BD390" s="5"/>
      <c r="BE390" s="5"/>
      <c r="BF390" s="6"/>
      <c r="BG390" s="6" t="s">
        <v>68</v>
      </c>
      <c r="BH390" s="5">
        <v>0</v>
      </c>
      <c r="BI390" s="5">
        <v>0</v>
      </c>
      <c r="BJ390" s="54" t="s">
        <v>379</v>
      </c>
      <c r="BK390" s="5" t="s">
        <v>101</v>
      </c>
      <c r="BL390" s="5">
        <v>0</v>
      </c>
      <c r="BM390" s="5" t="b">
        <v>0</v>
      </c>
      <c r="BN390" s="8" t="s">
        <v>1477</v>
      </c>
      <c r="CL390" s="77" t="str">
        <f t="shared" si="12"/>
        <v>spanaltfont1span1</v>
      </c>
    </row>
    <row r="391" spans="1:90">
      <c r="A391" s="76" t="str">
        <f t="shared" si="13"/>
        <v>span alt font 2 (span2)</v>
      </c>
      <c r="B391" s="5"/>
      <c r="C391" s="5" t="s">
        <v>851</v>
      </c>
      <c r="D391" s="5" t="s">
        <v>1311</v>
      </c>
      <c r="E391" s="5" t="s">
        <v>276</v>
      </c>
      <c r="F391" s="5">
        <v>2</v>
      </c>
      <c r="G391" s="5" t="b">
        <v>0</v>
      </c>
      <c r="H391" s="5">
        <v>2</v>
      </c>
      <c r="I391" s="5" t="s">
        <v>84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6"/>
      <c r="AN391" s="5"/>
      <c r="AO391" s="5"/>
      <c r="AP391" s="5"/>
      <c r="AQ391" s="6"/>
      <c r="AR391" s="5"/>
      <c r="AS391" s="5"/>
      <c r="AT391" s="5"/>
      <c r="AU391" s="6"/>
      <c r="AV391" s="5"/>
      <c r="AW391" s="5"/>
      <c r="AX391" s="5"/>
      <c r="AY391" s="6"/>
      <c r="AZ391" s="5"/>
      <c r="BA391" s="5"/>
      <c r="BB391" s="5"/>
      <c r="BC391" s="5"/>
      <c r="BD391" s="5"/>
      <c r="BE391" s="5"/>
      <c r="BF391" s="6"/>
      <c r="BG391" s="6" t="s">
        <v>68</v>
      </c>
      <c r="BH391" s="5">
        <v>0</v>
      </c>
      <c r="BI391" s="5">
        <v>0</v>
      </c>
      <c r="BJ391" s="54" t="s">
        <v>379</v>
      </c>
      <c r="BK391" s="5" t="s">
        <v>101</v>
      </c>
      <c r="BL391" s="5">
        <v>0</v>
      </c>
      <c r="BM391" s="5" t="b">
        <v>0</v>
      </c>
      <c r="BN391" s="8" t="s">
        <v>1477</v>
      </c>
      <c r="CL391" s="77" t="str">
        <f t="shared" si="12"/>
        <v>spanaltfont2span2</v>
      </c>
    </row>
    <row r="392" spans="1:90">
      <c r="A392" s="76" t="str">
        <f t="shared" si="13"/>
        <v>span bold ital (bem)</v>
      </c>
      <c r="B392" s="5"/>
      <c r="C392" s="5" t="s">
        <v>852</v>
      </c>
      <c r="D392" s="5" t="s">
        <v>1312</v>
      </c>
      <c r="E392" s="5" t="s">
        <v>277</v>
      </c>
      <c r="F392" s="5">
        <v>2</v>
      </c>
      <c r="G392" s="5" t="b">
        <v>0</v>
      </c>
      <c r="H392" s="5">
        <v>2</v>
      </c>
      <c r="I392" s="5" t="s">
        <v>74</v>
      </c>
      <c r="J392" s="5">
        <v>12</v>
      </c>
      <c r="K392" s="5" t="b">
        <v>1</v>
      </c>
      <c r="L392" s="5" t="b">
        <v>1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6"/>
      <c r="AN392" s="5"/>
      <c r="AO392" s="5"/>
      <c r="AP392" s="5"/>
      <c r="AQ392" s="6"/>
      <c r="AR392" s="5"/>
      <c r="AS392" s="5"/>
      <c r="AT392" s="5"/>
      <c r="AU392" s="6"/>
      <c r="AV392" s="5"/>
      <c r="AW392" s="5"/>
      <c r="AX392" s="5"/>
      <c r="AY392" s="6"/>
      <c r="AZ392" s="5"/>
      <c r="BA392" s="5"/>
      <c r="BB392" s="5"/>
      <c r="BC392" s="5"/>
      <c r="BD392" s="5"/>
      <c r="BE392" s="5"/>
      <c r="BF392" s="6"/>
      <c r="BG392" s="6" t="s">
        <v>68</v>
      </c>
      <c r="BH392" s="5">
        <v>0</v>
      </c>
      <c r="BI392" s="5">
        <v>0</v>
      </c>
      <c r="BJ392" s="55" t="s">
        <v>378</v>
      </c>
      <c r="BK392" s="5" t="s">
        <v>101</v>
      </c>
      <c r="BL392" s="5">
        <v>0</v>
      </c>
      <c r="BM392" s="5" t="b">
        <v>0</v>
      </c>
      <c r="BN392" s="8" t="s">
        <v>1480</v>
      </c>
      <c r="CL392" s="77" t="str">
        <f t="shared" si="12"/>
        <v>spanbolditalbem</v>
      </c>
    </row>
    <row r="393" spans="1:90">
      <c r="A393" s="76" t="str">
        <f t="shared" si="13"/>
        <v>span boldface characters (bf)</v>
      </c>
      <c r="B393" s="5"/>
      <c r="C393" s="5" t="s">
        <v>853</v>
      </c>
      <c r="D393" s="5" t="s">
        <v>1313</v>
      </c>
      <c r="E393" s="5" t="s">
        <v>278</v>
      </c>
      <c r="F393" s="5">
        <v>2</v>
      </c>
      <c r="G393" s="5" t="b">
        <v>0</v>
      </c>
      <c r="H393" s="5">
        <v>2</v>
      </c>
      <c r="I393" s="5" t="s">
        <v>74</v>
      </c>
      <c r="J393" s="5">
        <v>12</v>
      </c>
      <c r="K393" s="5" t="b">
        <v>0</v>
      </c>
      <c r="L393" s="5" t="b">
        <v>1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1</v>
      </c>
      <c r="T393" s="5" t="b">
        <v>1</v>
      </c>
      <c r="U393" s="5" t="b">
        <v>1</v>
      </c>
      <c r="V393" s="5" t="b">
        <v>0</v>
      </c>
      <c r="W393" s="70" t="s">
        <v>406</v>
      </c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6"/>
      <c r="AN393" s="5"/>
      <c r="AO393" s="5"/>
      <c r="AP393" s="5"/>
      <c r="AQ393" s="6"/>
      <c r="AR393" s="5"/>
      <c r="AS393" s="5"/>
      <c r="AT393" s="5"/>
      <c r="AU393" s="6"/>
      <c r="AV393" s="5"/>
      <c r="AW393" s="5"/>
      <c r="AX393" s="5"/>
      <c r="AY393" s="6"/>
      <c r="AZ393" s="5"/>
      <c r="BA393" s="5"/>
      <c r="BB393" s="5"/>
      <c r="BC393" s="5"/>
      <c r="BD393" s="5"/>
      <c r="BE393" s="5"/>
      <c r="BF393" s="6"/>
      <c r="BG393" s="6" t="s">
        <v>68</v>
      </c>
      <c r="BH393" s="5">
        <v>0</v>
      </c>
      <c r="BI393" s="5">
        <v>0</v>
      </c>
      <c r="BJ393" s="55" t="s">
        <v>378</v>
      </c>
      <c r="BK393" s="5" t="s">
        <v>101</v>
      </c>
      <c r="BL393" s="5">
        <v>0</v>
      </c>
      <c r="BM393" s="5" t="b">
        <v>0</v>
      </c>
      <c r="BN393" s="8" t="s">
        <v>1481</v>
      </c>
      <c r="CL393" s="77" t="str">
        <f t="shared" si="12"/>
        <v>spanboldfacecharactersbf</v>
      </c>
    </row>
    <row r="394" spans="1:90">
      <c r="A394" s="76" t="str">
        <f t="shared" si="13"/>
        <v>span carry query (cq)</v>
      </c>
      <c r="B394" s="5"/>
      <c r="C394" s="5" t="s">
        <v>854</v>
      </c>
      <c r="D394" s="5" t="s">
        <v>1314</v>
      </c>
      <c r="E394" s="5" t="s">
        <v>279</v>
      </c>
      <c r="F394" s="5">
        <v>2</v>
      </c>
      <c r="G394" s="5" t="b">
        <v>0</v>
      </c>
      <c r="H394" s="5">
        <v>2</v>
      </c>
      <c r="I394" s="5" t="s">
        <v>74</v>
      </c>
      <c r="J394" s="5">
        <v>12</v>
      </c>
      <c r="K394" s="5" t="b">
        <v>0</v>
      </c>
      <c r="L394" s="5" t="b">
        <v>0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6"/>
      <c r="AN394" s="5"/>
      <c r="AO394" s="5"/>
      <c r="AP394" s="5"/>
      <c r="AQ394" s="6"/>
      <c r="AR394" s="5"/>
      <c r="AS394" s="5"/>
      <c r="AT394" s="5"/>
      <c r="AU394" s="6"/>
      <c r="AV394" s="5"/>
      <c r="AW394" s="5"/>
      <c r="AX394" s="5"/>
      <c r="AY394" s="6"/>
      <c r="AZ394" s="5"/>
      <c r="BA394" s="5"/>
      <c r="BB394" s="5"/>
      <c r="BC394" s="5"/>
      <c r="BD394" s="5"/>
      <c r="BE394" s="5"/>
      <c r="BF394" s="6"/>
      <c r="BG394" s="6" t="s">
        <v>68</v>
      </c>
      <c r="BH394" s="5">
        <v>0</v>
      </c>
      <c r="BI394" s="5">
        <v>0</v>
      </c>
      <c r="BJ394" s="37" t="s">
        <v>368</v>
      </c>
      <c r="BK394" s="5" t="s">
        <v>101</v>
      </c>
      <c r="BL394" s="5">
        <v>0</v>
      </c>
      <c r="BM394" s="5" t="b">
        <v>0</v>
      </c>
      <c r="BN394" s="8" t="s">
        <v>1477</v>
      </c>
      <c r="CL394" s="77" t="str">
        <f t="shared" si="12"/>
        <v>spancarryquerycq</v>
      </c>
    </row>
    <row r="395" spans="1:90">
      <c r="A395" s="76" t="str">
        <f t="shared" si="13"/>
        <v>span cross-reference (xref)</v>
      </c>
      <c r="B395" s="5"/>
      <c r="C395" s="5" t="s">
        <v>855</v>
      </c>
      <c r="D395" s="5" t="s">
        <v>1315</v>
      </c>
      <c r="E395" s="5" t="s">
        <v>281</v>
      </c>
      <c r="F395" s="5">
        <v>2</v>
      </c>
      <c r="G395" s="5" t="b">
        <v>0</v>
      </c>
      <c r="H395" s="5">
        <v>2</v>
      </c>
      <c r="I395" s="5" t="s">
        <v>74</v>
      </c>
      <c r="J395" s="5">
        <v>12</v>
      </c>
      <c r="K395" s="5" t="b">
        <v>0</v>
      </c>
      <c r="L395" s="5" t="b">
        <v>0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6"/>
      <c r="AN395" s="5"/>
      <c r="AO395" s="5"/>
      <c r="AP395" s="5"/>
      <c r="AQ395" s="6"/>
      <c r="AR395" s="5"/>
      <c r="AS395" s="5"/>
      <c r="AT395" s="5"/>
      <c r="AU395" s="6"/>
      <c r="AV395" s="5"/>
      <c r="AW395" s="5"/>
      <c r="AX395" s="5"/>
      <c r="AY395" s="6"/>
      <c r="AZ395" s="5"/>
      <c r="BA395" s="5"/>
      <c r="BB395" s="5"/>
      <c r="BC395" s="5"/>
      <c r="BD395" s="5"/>
      <c r="BE395" s="5"/>
      <c r="BF395" s="6"/>
      <c r="BG395" s="6" t="s">
        <v>68</v>
      </c>
      <c r="BH395" s="5">
        <v>0</v>
      </c>
      <c r="BI395" s="5">
        <v>0</v>
      </c>
      <c r="BJ395" s="37" t="s">
        <v>368</v>
      </c>
      <c r="BK395" s="5" t="s">
        <v>101</v>
      </c>
      <c r="BL395" s="5">
        <v>0</v>
      </c>
      <c r="BM395" s="5" t="b">
        <v>0</v>
      </c>
      <c r="BN395" s="8" t="s">
        <v>1477</v>
      </c>
      <c r="CL395" s="77" t="str">
        <f t="shared" si="12"/>
        <v>spancross-referencexref</v>
      </c>
    </row>
    <row r="396" spans="1:90">
      <c r="A396" s="76" t="str">
        <f t="shared" si="13"/>
        <v>span design note (dni)</v>
      </c>
      <c r="B396" s="5"/>
      <c r="C396" s="5" t="s">
        <v>856</v>
      </c>
      <c r="D396" s="5" t="s">
        <v>1316</v>
      </c>
      <c r="E396" s="5" t="s">
        <v>282</v>
      </c>
      <c r="F396" s="5">
        <v>2</v>
      </c>
      <c r="G396" s="5" t="b">
        <v>0</v>
      </c>
      <c r="H396" s="5">
        <v>2</v>
      </c>
      <c r="I396" s="5" t="s">
        <v>74</v>
      </c>
      <c r="J396" s="5">
        <v>12</v>
      </c>
      <c r="K396" s="5" t="b">
        <v>0</v>
      </c>
      <c r="L396" s="5" t="b">
        <v>0</v>
      </c>
      <c r="M396" s="51" t="s">
        <v>382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6"/>
      <c r="AN396" s="5"/>
      <c r="AO396" s="5"/>
      <c r="AP396" s="5"/>
      <c r="AQ396" s="6"/>
      <c r="AR396" s="5"/>
      <c r="AS396" s="5"/>
      <c r="AT396" s="5"/>
      <c r="AU396" s="6"/>
      <c r="AV396" s="5"/>
      <c r="AW396" s="5"/>
      <c r="AX396" s="5"/>
      <c r="AY396" s="6"/>
      <c r="AZ396" s="5"/>
      <c r="BA396" s="5"/>
      <c r="BB396" s="5"/>
      <c r="BC396" s="5"/>
      <c r="BD396" s="5"/>
      <c r="BE396" s="5"/>
      <c r="BF396" s="6"/>
      <c r="BG396" s="6" t="s">
        <v>68</v>
      </c>
      <c r="BH396" s="5">
        <v>0</v>
      </c>
      <c r="BI396" s="5">
        <v>0</v>
      </c>
      <c r="BJ396" s="18" t="s">
        <v>107</v>
      </c>
      <c r="BK396" s="5" t="s">
        <v>101</v>
      </c>
      <c r="BL396" s="5">
        <v>0</v>
      </c>
      <c r="BM396" s="5" t="b">
        <v>0</v>
      </c>
      <c r="BN396" s="8" t="s">
        <v>1477</v>
      </c>
      <c r="CL396" s="77" t="str">
        <f t="shared" si="12"/>
        <v>spandesignnotedni</v>
      </c>
    </row>
    <row r="397" spans="1:90">
      <c r="A397" s="76" t="str">
        <f t="shared" si="13"/>
        <v>span hyperlink (url)</v>
      </c>
      <c r="B397" s="5"/>
      <c r="C397" s="5" t="s">
        <v>857</v>
      </c>
      <c r="D397" s="5" t="s">
        <v>1317</v>
      </c>
      <c r="E397" s="5" t="s">
        <v>283</v>
      </c>
      <c r="F397" s="5">
        <v>2</v>
      </c>
      <c r="G397" s="5" t="b">
        <v>0</v>
      </c>
      <c r="H397" s="5">
        <v>2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6"/>
      <c r="AN397" s="5"/>
      <c r="AO397" s="5"/>
      <c r="AP397" s="5"/>
      <c r="AQ397" s="6"/>
      <c r="AR397" s="5"/>
      <c r="AS397" s="5"/>
      <c r="AT397" s="5"/>
      <c r="AU397" s="6"/>
      <c r="AV397" s="5"/>
      <c r="AW397" s="5"/>
      <c r="AX397" s="5"/>
      <c r="AY397" s="6"/>
      <c r="AZ397" s="5"/>
      <c r="BA397" s="5"/>
      <c r="BB397" s="5"/>
      <c r="BC397" s="5"/>
      <c r="BD397" s="5"/>
      <c r="BE397" s="5"/>
      <c r="BF397" s="6"/>
      <c r="BG397" s="6" t="s">
        <v>68</v>
      </c>
      <c r="BH397" s="5">
        <v>0</v>
      </c>
      <c r="BI397" s="5">
        <v>0</v>
      </c>
      <c r="BJ397" s="56" t="s">
        <v>377</v>
      </c>
      <c r="BK397" s="5" t="s">
        <v>101</v>
      </c>
      <c r="BL397" s="5">
        <v>0</v>
      </c>
      <c r="BM397" s="5" t="b">
        <v>0</v>
      </c>
      <c r="BN397" s="8" t="s">
        <v>1477</v>
      </c>
      <c r="CL397" s="77" t="str">
        <f t="shared" si="12"/>
        <v>spanhyperlinkurl</v>
      </c>
    </row>
    <row r="398" spans="1:90">
      <c r="A398" s="76" t="str">
        <f t="shared" si="13"/>
        <v>span illustration holder (illi)</v>
      </c>
      <c r="B398" s="5"/>
      <c r="C398" s="5" t="s">
        <v>858</v>
      </c>
      <c r="D398" s="5" t="s">
        <v>1318</v>
      </c>
      <c r="E398" s="5" t="s">
        <v>284</v>
      </c>
      <c r="F398" s="5">
        <v>2</v>
      </c>
      <c r="G398" s="5" t="b">
        <v>0</v>
      </c>
      <c r="H398" s="5">
        <v>2</v>
      </c>
      <c r="I398" s="5" t="s">
        <v>74</v>
      </c>
      <c r="J398" s="5">
        <v>12</v>
      </c>
      <c r="K398" s="5" t="b">
        <v>0</v>
      </c>
      <c r="L398" s="5" t="b">
        <v>0</v>
      </c>
      <c r="M398" s="51" t="s">
        <v>382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6"/>
      <c r="AN398" s="5"/>
      <c r="AO398" s="5"/>
      <c r="AP398" s="5"/>
      <c r="AQ398" s="6"/>
      <c r="AR398" s="5"/>
      <c r="AS398" s="5"/>
      <c r="AT398" s="5"/>
      <c r="AU398" s="6"/>
      <c r="AV398" s="5"/>
      <c r="AW398" s="5"/>
      <c r="AX398" s="5"/>
      <c r="AY398" s="6"/>
      <c r="AZ398" s="5"/>
      <c r="BA398" s="5"/>
      <c r="BB398" s="5"/>
      <c r="BC398" s="5"/>
      <c r="BD398" s="5"/>
      <c r="BE398" s="5"/>
      <c r="BF398" s="6"/>
      <c r="BG398" s="6" t="s">
        <v>68</v>
      </c>
      <c r="BH398" s="5">
        <v>0</v>
      </c>
      <c r="BI398" s="5">
        <v>0</v>
      </c>
      <c r="BJ398" s="7" t="s">
        <v>69</v>
      </c>
      <c r="BK398" s="5" t="s">
        <v>101</v>
      </c>
      <c r="BL398" s="5">
        <v>0</v>
      </c>
      <c r="BM398" s="5" t="b">
        <v>0</v>
      </c>
      <c r="BN398" s="8" t="s">
        <v>1477</v>
      </c>
      <c r="CL398" s="77" t="str">
        <f t="shared" si="12"/>
        <v>spanillustrationholderilli</v>
      </c>
    </row>
    <row r="399" spans="1:90">
      <c r="A399" s="76" t="str">
        <f t="shared" si="13"/>
        <v>span ISBN (isbn)</v>
      </c>
      <c r="B399" s="5"/>
      <c r="C399" s="5" t="s">
        <v>859</v>
      </c>
      <c r="D399" s="5" t="s">
        <v>1319</v>
      </c>
      <c r="E399" s="5" t="s">
        <v>285</v>
      </c>
      <c r="F399" s="5">
        <v>2</v>
      </c>
      <c r="G399" s="5" t="b">
        <v>0</v>
      </c>
      <c r="H399" s="5">
        <v>2</v>
      </c>
      <c r="I399" s="5" t="s">
        <v>74</v>
      </c>
      <c r="J399" s="5">
        <v>10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6"/>
      <c r="AN399" s="5"/>
      <c r="AO399" s="5"/>
      <c r="AP399" s="5"/>
      <c r="AQ399" s="6"/>
      <c r="AR399" s="5"/>
      <c r="AS399" s="5"/>
      <c r="AT399" s="5"/>
      <c r="AU399" s="6"/>
      <c r="AV399" s="5"/>
      <c r="AW399" s="5"/>
      <c r="AX399" s="5"/>
      <c r="AY399" s="6"/>
      <c r="AZ399" s="5"/>
      <c r="BA399" s="5"/>
      <c r="BB399" s="5"/>
      <c r="BC399" s="5"/>
      <c r="BD399" s="5"/>
      <c r="BE399" s="5"/>
      <c r="BF399" s="6"/>
      <c r="BG399" s="6" t="s">
        <v>68</v>
      </c>
      <c r="BH399" s="5">
        <v>0</v>
      </c>
      <c r="BI399" s="5">
        <v>0</v>
      </c>
      <c r="BJ399" s="53" t="s">
        <v>380</v>
      </c>
      <c r="BK399" s="5" t="s">
        <v>101</v>
      </c>
      <c r="BL399" s="5">
        <v>0</v>
      </c>
      <c r="BM399" s="5" t="b">
        <v>0</v>
      </c>
      <c r="BN399" s="8" t="s">
        <v>1477</v>
      </c>
      <c r="CL399" s="77" t="str">
        <f t="shared" si="12"/>
        <v>spanISBNisbn</v>
      </c>
    </row>
    <row r="400" spans="1:90">
      <c r="A400" s="76" t="str">
        <f t="shared" si="13"/>
        <v>span italic characters (ital)</v>
      </c>
      <c r="B400" s="5"/>
      <c r="C400" s="5" t="s">
        <v>860</v>
      </c>
      <c r="D400" s="5" t="s">
        <v>1320</v>
      </c>
      <c r="E400" s="5" t="s">
        <v>286</v>
      </c>
      <c r="F400" s="5">
        <v>2</v>
      </c>
      <c r="G400" s="5" t="b">
        <v>0</v>
      </c>
      <c r="H400" s="5">
        <v>2</v>
      </c>
      <c r="I400" s="5" t="s">
        <v>74</v>
      </c>
      <c r="J400" s="5">
        <v>12</v>
      </c>
      <c r="K400" s="5" t="b">
        <v>1</v>
      </c>
      <c r="L400" s="5" t="b">
        <v>0</v>
      </c>
      <c r="M400" s="6" t="s">
        <v>68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1</v>
      </c>
      <c r="T400" s="5" t="b">
        <v>1</v>
      </c>
      <c r="U400" s="5" t="b">
        <v>1</v>
      </c>
      <c r="V400" s="5" t="b">
        <v>0</v>
      </c>
      <c r="W400" s="70" t="s">
        <v>440</v>
      </c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6"/>
      <c r="AN400" s="5"/>
      <c r="AO400" s="5"/>
      <c r="AP400" s="5"/>
      <c r="AQ400" s="6"/>
      <c r="AR400" s="5"/>
      <c r="AS400" s="5"/>
      <c r="AT400" s="5"/>
      <c r="AU400" s="6"/>
      <c r="AV400" s="5"/>
      <c r="AW400" s="5"/>
      <c r="AX400" s="5"/>
      <c r="AY400" s="6"/>
      <c r="AZ400" s="5"/>
      <c r="BA400" s="5"/>
      <c r="BB400" s="5"/>
      <c r="BC400" s="5"/>
      <c r="BD400" s="5"/>
      <c r="BE400" s="5"/>
      <c r="BF400" s="6"/>
      <c r="BG400" s="6" t="s">
        <v>68</v>
      </c>
      <c r="BH400" s="5">
        <v>0</v>
      </c>
      <c r="BI400" s="5">
        <v>0</v>
      </c>
      <c r="BJ400" s="55" t="s">
        <v>378</v>
      </c>
      <c r="BK400" s="5" t="s">
        <v>101</v>
      </c>
      <c r="BL400" s="5">
        <v>0</v>
      </c>
      <c r="BM400" s="5" t="b">
        <v>0</v>
      </c>
      <c r="BN400" s="8" t="s">
        <v>1482</v>
      </c>
      <c r="CL400" s="77" t="str">
        <f t="shared" si="12"/>
        <v>spanitaliccharactersital</v>
      </c>
    </row>
    <row r="401" spans="1:90">
      <c r="A401" s="76" t="str">
        <f t="shared" si="13"/>
        <v>span key phrase (kp)</v>
      </c>
      <c r="B401" s="5"/>
      <c r="C401" s="5" t="s">
        <v>861</v>
      </c>
      <c r="D401" s="5" t="s">
        <v>1321</v>
      </c>
      <c r="E401" s="5" t="s">
        <v>287</v>
      </c>
      <c r="F401" s="5">
        <v>2</v>
      </c>
      <c r="G401" s="5" t="b">
        <v>0</v>
      </c>
      <c r="H401" s="5">
        <v>2</v>
      </c>
      <c r="I401" s="5" t="s">
        <v>4</v>
      </c>
      <c r="J401" s="5">
        <v>10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6"/>
      <c r="AN401" s="5"/>
      <c r="AO401" s="5"/>
      <c r="AP401" s="5"/>
      <c r="AQ401" s="6"/>
      <c r="AR401" s="5"/>
      <c r="AS401" s="5"/>
      <c r="AT401" s="5"/>
      <c r="AU401" s="6"/>
      <c r="AV401" s="5"/>
      <c r="AW401" s="5"/>
      <c r="AX401" s="5"/>
      <c r="AY401" s="6"/>
      <c r="AZ401" s="5"/>
      <c r="BA401" s="5"/>
      <c r="BB401" s="5"/>
      <c r="BC401" s="5"/>
      <c r="BD401" s="5"/>
      <c r="BE401" s="5"/>
      <c r="BF401" s="6"/>
      <c r="BG401" s="6" t="s">
        <v>68</v>
      </c>
      <c r="BH401" s="5">
        <v>0</v>
      </c>
      <c r="BI401" s="5">
        <v>0</v>
      </c>
      <c r="BJ401" s="55" t="s">
        <v>378</v>
      </c>
      <c r="BK401" s="5" t="s">
        <v>101</v>
      </c>
      <c r="BL401" s="5">
        <v>0</v>
      </c>
      <c r="BM401" s="5" t="b">
        <v>0</v>
      </c>
      <c r="BN401" s="8" t="s">
        <v>1477</v>
      </c>
      <c r="CL401" s="77" t="str">
        <f t="shared" si="12"/>
        <v>spankeyphrasekp</v>
      </c>
    </row>
    <row r="402" spans="1:90">
      <c r="A402" s="76" t="str">
        <f t="shared" si="13"/>
        <v>span material to come (tk)</v>
      </c>
      <c r="B402" s="5"/>
      <c r="C402" s="5" t="s">
        <v>862</v>
      </c>
      <c r="D402" s="5" t="s">
        <v>1322</v>
      </c>
      <c r="E402" s="5" t="s">
        <v>280</v>
      </c>
      <c r="F402" s="5">
        <v>2</v>
      </c>
      <c r="G402" s="5" t="b">
        <v>0</v>
      </c>
      <c r="H402" s="5">
        <v>2</v>
      </c>
      <c r="I402" s="5" t="s">
        <v>74</v>
      </c>
      <c r="J402" s="5">
        <v>12</v>
      </c>
      <c r="K402" s="5" t="b">
        <v>0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6"/>
      <c r="AN402" s="5"/>
      <c r="AO402" s="5"/>
      <c r="AP402" s="5"/>
      <c r="AQ402" s="6"/>
      <c r="AR402" s="5"/>
      <c r="AS402" s="5"/>
      <c r="AT402" s="5"/>
      <c r="AU402" s="6"/>
      <c r="AV402" s="5"/>
      <c r="AW402" s="5"/>
      <c r="AX402" s="5"/>
      <c r="AY402" s="6"/>
      <c r="AZ402" s="5"/>
      <c r="BA402" s="5"/>
      <c r="BB402" s="5"/>
      <c r="BC402" s="5"/>
      <c r="BD402" s="5"/>
      <c r="BE402" s="5"/>
      <c r="BF402" s="6"/>
      <c r="BG402" s="6" t="s">
        <v>68</v>
      </c>
      <c r="BH402" s="5">
        <v>0</v>
      </c>
      <c r="BI402" s="5">
        <v>0</v>
      </c>
      <c r="BJ402" s="37" t="s">
        <v>368</v>
      </c>
      <c r="BK402" s="5" t="s">
        <v>101</v>
      </c>
      <c r="BL402" s="5">
        <v>0</v>
      </c>
      <c r="BM402" s="5" t="b">
        <v>0</v>
      </c>
      <c r="BN402" s="8" t="s">
        <v>1477</v>
      </c>
      <c r="CL402" s="77" t="str">
        <f t="shared" si="12"/>
        <v>spanmaterialtocometk</v>
      </c>
    </row>
    <row r="403" spans="1:90">
      <c r="A403" s="76" t="str">
        <f t="shared" si="13"/>
        <v>span preserve characters (pre)</v>
      </c>
      <c r="B403" s="5"/>
      <c r="C403" s="5" t="s">
        <v>863</v>
      </c>
      <c r="D403" s="5" t="s">
        <v>1323</v>
      </c>
      <c r="E403" s="5" t="s">
        <v>288</v>
      </c>
      <c r="F403" s="5">
        <v>2</v>
      </c>
      <c r="G403" s="5" t="b">
        <v>0</v>
      </c>
      <c r="H403" s="5">
        <v>2</v>
      </c>
      <c r="I403" s="5" t="s">
        <v>74</v>
      </c>
      <c r="J403" s="5">
        <v>12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6"/>
      <c r="AN403" s="5"/>
      <c r="AO403" s="5"/>
      <c r="AP403" s="5"/>
      <c r="AQ403" s="6"/>
      <c r="AR403" s="5"/>
      <c r="AS403" s="5"/>
      <c r="AT403" s="5"/>
      <c r="AU403" s="6"/>
      <c r="AV403" s="5"/>
      <c r="AW403" s="5"/>
      <c r="AX403" s="5"/>
      <c r="AY403" s="6"/>
      <c r="AZ403" s="5"/>
      <c r="BA403" s="5"/>
      <c r="BB403" s="5"/>
      <c r="BC403" s="5"/>
      <c r="BD403" s="5"/>
      <c r="BE403" s="5"/>
      <c r="BF403" s="6"/>
      <c r="BG403" s="6" t="s">
        <v>68</v>
      </c>
      <c r="BH403" s="5">
        <v>0</v>
      </c>
      <c r="BI403" s="5">
        <v>0</v>
      </c>
      <c r="BJ403" s="53" t="s">
        <v>380</v>
      </c>
      <c r="BK403" s="5" t="s">
        <v>101</v>
      </c>
      <c r="BL403" s="5">
        <v>0</v>
      </c>
      <c r="BM403" s="5" t="b">
        <v>0</v>
      </c>
      <c r="BN403" s="8" t="s">
        <v>1477</v>
      </c>
      <c r="CL403" s="77" t="str">
        <f t="shared" si="12"/>
        <v>spanpreservecharacterspre</v>
      </c>
    </row>
    <row r="404" spans="1:90">
      <c r="A404" s="76" t="str">
        <f t="shared" si="13"/>
        <v>span run-in computer type (comp)</v>
      </c>
      <c r="B404" s="5"/>
      <c r="C404" s="5" t="s">
        <v>864</v>
      </c>
      <c r="D404" s="5" t="s">
        <v>1324</v>
      </c>
      <c r="E404" s="5" t="s">
        <v>289</v>
      </c>
      <c r="F404" s="5">
        <v>2</v>
      </c>
      <c r="G404" s="5" t="b">
        <v>0</v>
      </c>
      <c r="H404" s="5">
        <v>2</v>
      </c>
      <c r="I404" s="5" t="s">
        <v>144</v>
      </c>
      <c r="J404" s="5">
        <v>12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6"/>
      <c r="AN404" s="5"/>
      <c r="AO404" s="5"/>
      <c r="AP404" s="5"/>
      <c r="AQ404" s="6"/>
      <c r="AR404" s="5"/>
      <c r="AS404" s="5"/>
      <c r="AT404" s="5"/>
      <c r="AU404" s="6"/>
      <c r="AV404" s="5"/>
      <c r="AW404" s="5"/>
      <c r="AX404" s="5"/>
      <c r="AY404" s="6"/>
      <c r="AZ404" s="5"/>
      <c r="BA404" s="5"/>
      <c r="BB404" s="5"/>
      <c r="BC404" s="5"/>
      <c r="BD404" s="5"/>
      <c r="BE404" s="5"/>
      <c r="BF404" s="6"/>
      <c r="BG404" s="6" t="s">
        <v>68</v>
      </c>
      <c r="BH404" s="5">
        <v>0</v>
      </c>
      <c r="BI404" s="5">
        <v>0</v>
      </c>
      <c r="BJ404" s="55" t="s">
        <v>378</v>
      </c>
      <c r="BK404" s="5" t="s">
        <v>101</v>
      </c>
      <c r="BL404" s="5">
        <v>0</v>
      </c>
      <c r="BM404" s="5" t="b">
        <v>0</v>
      </c>
      <c r="BN404" s="8" t="s">
        <v>1477</v>
      </c>
      <c r="CL404" s="77" t="str">
        <f t="shared" si="12"/>
        <v>spanrun-incomputertypecomp</v>
      </c>
    </row>
    <row r="405" spans="1:90">
      <c r="A405" s="76" t="str">
        <f t="shared" si="13"/>
        <v>span small caps characters (sc)</v>
      </c>
      <c r="B405" s="5"/>
      <c r="C405" s="5" t="s">
        <v>865</v>
      </c>
      <c r="D405" s="5" t="s">
        <v>1325</v>
      </c>
      <c r="E405" s="5" t="s">
        <v>290</v>
      </c>
      <c r="F405" s="5">
        <v>2</v>
      </c>
      <c r="G405" s="5" t="b">
        <v>0</v>
      </c>
      <c r="H405" s="5">
        <v>2</v>
      </c>
      <c r="I405" s="5" t="s">
        <v>74</v>
      </c>
      <c r="J405" s="5">
        <v>12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1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6"/>
      <c r="AN405" s="5"/>
      <c r="AO405" s="5"/>
      <c r="AP405" s="5"/>
      <c r="AQ405" s="6"/>
      <c r="AR405" s="5"/>
      <c r="AS405" s="5"/>
      <c r="AT405" s="5"/>
      <c r="AU405" s="6"/>
      <c r="AV405" s="5"/>
      <c r="AW405" s="5"/>
      <c r="AX405" s="5"/>
      <c r="AY405" s="6"/>
      <c r="AZ405" s="5"/>
      <c r="BA405" s="5"/>
      <c r="BB405" s="5"/>
      <c r="BC405" s="5"/>
      <c r="BD405" s="5"/>
      <c r="BE405" s="5"/>
      <c r="BF405" s="6"/>
      <c r="BG405" s="6" t="s">
        <v>68</v>
      </c>
      <c r="BH405" s="5">
        <v>0</v>
      </c>
      <c r="BI405" s="5">
        <v>0</v>
      </c>
      <c r="BJ405" s="55" t="s">
        <v>378</v>
      </c>
      <c r="BK405" s="5" t="s">
        <v>101</v>
      </c>
      <c r="BL405" s="5">
        <v>0</v>
      </c>
      <c r="BM405" s="5" t="b">
        <v>0</v>
      </c>
      <c r="BN405" s="8" t="s">
        <v>1477</v>
      </c>
      <c r="CL405" s="77" t="str">
        <f t="shared" si="12"/>
        <v>spansmallcapscharacterssc</v>
      </c>
    </row>
    <row r="406" spans="1:90">
      <c r="A406" s="76" t="str">
        <f t="shared" si="13"/>
        <v>span smcap bold (scbold)</v>
      </c>
      <c r="B406" s="5"/>
      <c r="C406" s="5" t="s">
        <v>866</v>
      </c>
      <c r="D406" s="5" t="s">
        <v>1326</v>
      </c>
      <c r="E406" s="5" t="s">
        <v>291</v>
      </c>
      <c r="F406" s="5">
        <v>2</v>
      </c>
      <c r="G406" s="5" t="b">
        <v>0</v>
      </c>
      <c r="H406" s="5">
        <v>2</v>
      </c>
      <c r="I406" s="5" t="s">
        <v>74</v>
      </c>
      <c r="J406" s="5">
        <v>12</v>
      </c>
      <c r="K406" s="5" t="b">
        <v>0</v>
      </c>
      <c r="L406" s="5" t="b">
        <v>1</v>
      </c>
      <c r="M406" s="6" t="s">
        <v>68</v>
      </c>
      <c r="N406" s="5" t="b">
        <v>0</v>
      </c>
      <c r="O406" s="5" t="b">
        <v>1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6"/>
      <c r="AN406" s="5"/>
      <c r="AO406" s="5"/>
      <c r="AP406" s="5"/>
      <c r="AQ406" s="6"/>
      <c r="AR406" s="5"/>
      <c r="AS406" s="5"/>
      <c r="AT406" s="5"/>
      <c r="AU406" s="6"/>
      <c r="AV406" s="5"/>
      <c r="AW406" s="5"/>
      <c r="AX406" s="5"/>
      <c r="AY406" s="6"/>
      <c r="AZ406" s="5"/>
      <c r="BA406" s="5"/>
      <c r="BB406" s="5"/>
      <c r="BC406" s="5"/>
      <c r="BD406" s="5"/>
      <c r="BE406" s="5"/>
      <c r="BF406" s="6"/>
      <c r="BG406" s="6" t="s">
        <v>68</v>
      </c>
      <c r="BH406" s="5">
        <v>0</v>
      </c>
      <c r="BI406" s="5">
        <v>0</v>
      </c>
      <c r="BJ406" s="55" t="s">
        <v>378</v>
      </c>
      <c r="BK406" s="5" t="s">
        <v>101</v>
      </c>
      <c r="BL406" s="5">
        <v>0</v>
      </c>
      <c r="BM406" s="5" t="b">
        <v>0</v>
      </c>
      <c r="BN406" s="8" t="s">
        <v>1477</v>
      </c>
      <c r="CL406" s="77" t="str">
        <f t="shared" si="12"/>
        <v>spansmcapboldscbold</v>
      </c>
    </row>
    <row r="407" spans="1:90">
      <c r="A407" s="76" t="str">
        <f t="shared" si="13"/>
        <v>span smcap bold ital (scbi)</v>
      </c>
      <c r="B407" s="5"/>
      <c r="C407" s="5" t="s">
        <v>867</v>
      </c>
      <c r="D407" s="5" t="s">
        <v>1327</v>
      </c>
      <c r="E407" s="5" t="s">
        <v>292</v>
      </c>
      <c r="F407" s="5">
        <v>2</v>
      </c>
      <c r="G407" s="5" t="b">
        <v>0</v>
      </c>
      <c r="H407" s="5">
        <v>2</v>
      </c>
      <c r="I407" s="5" t="s">
        <v>74</v>
      </c>
      <c r="J407" s="5">
        <v>12</v>
      </c>
      <c r="K407" s="5" t="b">
        <v>1</v>
      </c>
      <c r="L407" s="5" t="b">
        <v>1</v>
      </c>
      <c r="M407" s="6" t="s">
        <v>68</v>
      </c>
      <c r="N407" s="5" t="b">
        <v>0</v>
      </c>
      <c r="O407" s="5" t="b">
        <v>1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6"/>
      <c r="AN407" s="5"/>
      <c r="AO407" s="5"/>
      <c r="AP407" s="5"/>
      <c r="AQ407" s="6"/>
      <c r="AR407" s="5"/>
      <c r="AS407" s="5"/>
      <c r="AT407" s="5"/>
      <c r="AU407" s="6"/>
      <c r="AV407" s="5"/>
      <c r="AW407" s="5"/>
      <c r="AX407" s="5"/>
      <c r="AY407" s="6"/>
      <c r="AZ407" s="5"/>
      <c r="BA407" s="5"/>
      <c r="BB407" s="5"/>
      <c r="BC407" s="5"/>
      <c r="BD407" s="5"/>
      <c r="BE407" s="5"/>
      <c r="BF407" s="6"/>
      <c r="BG407" s="6" t="s">
        <v>68</v>
      </c>
      <c r="BH407" s="5">
        <v>0</v>
      </c>
      <c r="BI407" s="5">
        <v>0</v>
      </c>
      <c r="BJ407" s="55" t="s">
        <v>378</v>
      </c>
      <c r="BK407" s="5" t="s">
        <v>101</v>
      </c>
      <c r="BL407" s="5">
        <v>0</v>
      </c>
      <c r="BM407" s="5" t="b">
        <v>0</v>
      </c>
      <c r="BN407" s="8" t="s">
        <v>1483</v>
      </c>
      <c r="CL407" s="77" t="str">
        <f t="shared" si="12"/>
        <v>spansmcapbolditalscbi</v>
      </c>
    </row>
    <row r="408" spans="1:90">
      <c r="A408" s="76" t="str">
        <f t="shared" si="13"/>
        <v>span smcap ital (scital)</v>
      </c>
      <c r="B408" s="5"/>
      <c r="C408" s="5" t="s">
        <v>868</v>
      </c>
      <c r="D408" s="5" t="s">
        <v>1328</v>
      </c>
      <c r="E408" s="5" t="s">
        <v>293</v>
      </c>
      <c r="F408" s="5">
        <v>2</v>
      </c>
      <c r="G408" s="5" t="b">
        <v>0</v>
      </c>
      <c r="H408" s="5">
        <v>2</v>
      </c>
      <c r="I408" s="5" t="s">
        <v>74</v>
      </c>
      <c r="J408" s="5">
        <v>12</v>
      </c>
      <c r="K408" s="5" t="b">
        <v>1</v>
      </c>
      <c r="L408" s="5" t="b">
        <v>0</v>
      </c>
      <c r="M408" s="6" t="s">
        <v>68</v>
      </c>
      <c r="N408" s="5" t="b">
        <v>0</v>
      </c>
      <c r="O408" s="5" t="b">
        <v>1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6"/>
      <c r="AN408" s="5"/>
      <c r="AO408" s="5"/>
      <c r="AP408" s="5"/>
      <c r="AQ408" s="6"/>
      <c r="AR408" s="5"/>
      <c r="AS408" s="5"/>
      <c r="AT408" s="5"/>
      <c r="AU408" s="6"/>
      <c r="AV408" s="5"/>
      <c r="AW408" s="5"/>
      <c r="AX408" s="5"/>
      <c r="AY408" s="6"/>
      <c r="AZ408" s="5"/>
      <c r="BA408" s="5"/>
      <c r="BB408" s="5"/>
      <c r="BC408" s="5"/>
      <c r="BD408" s="5"/>
      <c r="BE408" s="5"/>
      <c r="BF408" s="6"/>
      <c r="BG408" s="6" t="s">
        <v>68</v>
      </c>
      <c r="BH408" s="5">
        <v>0</v>
      </c>
      <c r="BI408" s="5">
        <v>0</v>
      </c>
      <c r="BJ408" s="55" t="s">
        <v>378</v>
      </c>
      <c r="BK408" s="5" t="s">
        <v>101</v>
      </c>
      <c r="BL408" s="5">
        <v>0</v>
      </c>
      <c r="BM408" s="5" t="b">
        <v>0</v>
      </c>
      <c r="BN408" s="8" t="s">
        <v>1484</v>
      </c>
      <c r="CL408" s="77" t="str">
        <f t="shared" si="12"/>
        <v>spansmcapitalscital</v>
      </c>
    </row>
    <row r="409" spans="1:90">
      <c r="A409" s="76" t="str">
        <f t="shared" si="13"/>
        <v>span strikethrough characters (str)</v>
      </c>
      <c r="B409" s="5"/>
      <c r="C409" s="5" t="s">
        <v>869</v>
      </c>
      <c r="D409" s="5" t="s">
        <v>1329</v>
      </c>
      <c r="E409" s="5" t="s">
        <v>294</v>
      </c>
      <c r="F409" s="5">
        <v>2</v>
      </c>
      <c r="G409" s="5" t="b">
        <v>0</v>
      </c>
      <c r="H409" s="5">
        <v>2</v>
      </c>
      <c r="I409" s="5" t="s">
        <v>74</v>
      </c>
      <c r="J409" s="5">
        <v>12</v>
      </c>
      <c r="K409" s="5" t="b">
        <v>0</v>
      </c>
      <c r="L409" s="5" t="b">
        <v>0</v>
      </c>
      <c r="M409" s="6" t="s">
        <v>68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1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6"/>
      <c r="AN409" s="5"/>
      <c r="AO409" s="5"/>
      <c r="AP409" s="5"/>
      <c r="AQ409" s="6"/>
      <c r="AR409" s="5"/>
      <c r="AS409" s="5"/>
      <c r="AT409" s="5"/>
      <c r="AU409" s="6"/>
      <c r="AV409" s="5"/>
      <c r="AW409" s="5"/>
      <c r="AX409" s="5"/>
      <c r="AY409" s="6"/>
      <c r="AZ409" s="5"/>
      <c r="BA409" s="5"/>
      <c r="BB409" s="5"/>
      <c r="BC409" s="5"/>
      <c r="BD409" s="5"/>
      <c r="BE409" s="5"/>
      <c r="BF409" s="6"/>
      <c r="BG409" s="6" t="s">
        <v>68</v>
      </c>
      <c r="BH409" s="5">
        <v>0</v>
      </c>
      <c r="BI409" s="5">
        <v>0</v>
      </c>
      <c r="BJ409" s="55" t="s">
        <v>378</v>
      </c>
      <c r="BK409" s="5" t="s">
        <v>101</v>
      </c>
      <c r="BL409" s="5">
        <v>0</v>
      </c>
      <c r="BM409" s="5" t="b">
        <v>0</v>
      </c>
      <c r="BN409" s="8" t="s">
        <v>1477</v>
      </c>
      <c r="CL409" s="77" t="str">
        <f t="shared" si="12"/>
        <v>spanstrikethroughcharactersstr</v>
      </c>
    </row>
    <row r="410" spans="1:90">
      <c r="A410" s="76" t="str">
        <f t="shared" si="13"/>
        <v>span subscript characters (sub)</v>
      </c>
      <c r="B410" s="5"/>
      <c r="C410" s="5" t="s">
        <v>870</v>
      </c>
      <c r="D410" s="5" t="s">
        <v>1330</v>
      </c>
      <c r="E410" s="5" t="s">
        <v>295</v>
      </c>
      <c r="F410" s="5">
        <v>2</v>
      </c>
      <c r="G410" s="5" t="b">
        <v>0</v>
      </c>
      <c r="H410" s="5">
        <v>2</v>
      </c>
      <c r="I410" s="5" t="s">
        <v>74</v>
      </c>
      <c r="J410" s="5">
        <v>12</v>
      </c>
      <c r="K410" s="5" t="b">
        <v>0</v>
      </c>
      <c r="L410" s="5" t="b">
        <v>0</v>
      </c>
      <c r="M410" s="6" t="s">
        <v>68</v>
      </c>
      <c r="N410" s="5" t="b">
        <v>0</v>
      </c>
      <c r="O410" s="5" t="b">
        <v>0</v>
      </c>
      <c r="P410" s="5" t="b">
        <v>0</v>
      </c>
      <c r="Q410" s="5" t="b">
        <v>1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6"/>
      <c r="AN410" s="5"/>
      <c r="AO410" s="5"/>
      <c r="AP410" s="5"/>
      <c r="AQ410" s="6"/>
      <c r="AR410" s="5"/>
      <c r="AS410" s="5"/>
      <c r="AT410" s="5"/>
      <c r="AU410" s="6"/>
      <c r="AV410" s="5"/>
      <c r="AW410" s="5"/>
      <c r="AX410" s="5"/>
      <c r="AY410" s="6"/>
      <c r="AZ410" s="5"/>
      <c r="BA410" s="5"/>
      <c r="BB410" s="5"/>
      <c r="BC410" s="5"/>
      <c r="BD410" s="5"/>
      <c r="BE410" s="5"/>
      <c r="BF410" s="6"/>
      <c r="BG410" s="6" t="s">
        <v>68</v>
      </c>
      <c r="BH410" s="5">
        <v>0</v>
      </c>
      <c r="BI410" s="5">
        <v>0</v>
      </c>
      <c r="BJ410" s="55" t="s">
        <v>378</v>
      </c>
      <c r="BK410" s="5" t="s">
        <v>101</v>
      </c>
      <c r="BL410" s="5">
        <v>0</v>
      </c>
      <c r="BM410" s="5" t="b">
        <v>0</v>
      </c>
      <c r="BN410" s="8" t="s">
        <v>1330</v>
      </c>
      <c r="CL410" s="77" t="str">
        <f t="shared" si="12"/>
        <v>spansubscriptcharacterssub</v>
      </c>
    </row>
    <row r="411" spans="1:90">
      <c r="A411" s="76" t="str">
        <f t="shared" si="13"/>
        <v>span superscript characters (sup)</v>
      </c>
      <c r="B411" s="5"/>
      <c r="C411" s="5" t="s">
        <v>871</v>
      </c>
      <c r="D411" s="5" t="s">
        <v>1331</v>
      </c>
      <c r="E411" s="5" t="s">
        <v>296</v>
      </c>
      <c r="F411" s="5">
        <v>2</v>
      </c>
      <c r="G411" s="5" t="b">
        <v>0</v>
      </c>
      <c r="H411" s="5">
        <v>2</v>
      </c>
      <c r="I411" s="5" t="s">
        <v>74</v>
      </c>
      <c r="J411" s="5">
        <v>12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1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6"/>
      <c r="AN411" s="5"/>
      <c r="AO411" s="5"/>
      <c r="AP411" s="5"/>
      <c r="AQ411" s="6"/>
      <c r="AR411" s="5"/>
      <c r="AS411" s="5"/>
      <c r="AT411" s="5"/>
      <c r="AU411" s="6"/>
      <c r="AV411" s="5"/>
      <c r="AW411" s="5"/>
      <c r="AX411" s="5"/>
      <c r="AY411" s="6"/>
      <c r="AZ411" s="5"/>
      <c r="BA411" s="5"/>
      <c r="BB411" s="5"/>
      <c r="BC411" s="5"/>
      <c r="BD411" s="5"/>
      <c r="BE411" s="5"/>
      <c r="BF411" s="6"/>
      <c r="BG411" s="6" t="s">
        <v>68</v>
      </c>
      <c r="BH411" s="5">
        <v>0</v>
      </c>
      <c r="BI411" s="5">
        <v>0</v>
      </c>
      <c r="BJ411" s="55" t="s">
        <v>378</v>
      </c>
      <c r="BK411" s="5" t="s">
        <v>101</v>
      </c>
      <c r="BL411" s="5">
        <v>0</v>
      </c>
      <c r="BM411" s="5" t="b">
        <v>0</v>
      </c>
      <c r="BN411" s="8" t="s">
        <v>1331</v>
      </c>
      <c r="CL411" s="77" t="str">
        <f t="shared" si="12"/>
        <v>spansuperscriptcharacterssup</v>
      </c>
    </row>
    <row r="412" spans="1:90">
      <c r="A412" s="76" t="str">
        <f t="shared" si="13"/>
        <v>span symbols (sym)</v>
      </c>
      <c r="B412" s="5"/>
      <c r="C412" s="5" t="s">
        <v>872</v>
      </c>
      <c r="D412" s="5" t="s">
        <v>1332</v>
      </c>
      <c r="E412" s="5" t="s">
        <v>274</v>
      </c>
      <c r="F412" s="5">
        <v>2</v>
      </c>
      <c r="G412" s="5" t="b">
        <v>0</v>
      </c>
      <c r="H412" s="5">
        <v>2</v>
      </c>
      <c r="I412" s="5" t="s">
        <v>2</v>
      </c>
      <c r="J412" s="5">
        <v>10.5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6"/>
      <c r="AN412" s="5"/>
      <c r="AO412" s="5"/>
      <c r="AP412" s="5"/>
      <c r="AQ412" s="6"/>
      <c r="AR412" s="5"/>
      <c r="AS412" s="5"/>
      <c r="AT412" s="5"/>
      <c r="AU412" s="6"/>
      <c r="AV412" s="5"/>
      <c r="AW412" s="5"/>
      <c r="AX412" s="5"/>
      <c r="AY412" s="6"/>
      <c r="AZ412" s="5"/>
      <c r="BA412" s="5"/>
      <c r="BB412" s="5"/>
      <c r="BC412" s="5"/>
      <c r="BD412" s="5"/>
      <c r="BE412" s="5"/>
      <c r="BF412" s="6"/>
      <c r="BG412" s="6" t="s">
        <v>68</v>
      </c>
      <c r="BH412" s="5">
        <v>0</v>
      </c>
      <c r="BI412" s="5">
        <v>0</v>
      </c>
      <c r="BJ412" s="53" t="s">
        <v>380</v>
      </c>
      <c r="BK412" s="5" t="s">
        <v>101</v>
      </c>
      <c r="BL412" s="5">
        <v>0</v>
      </c>
      <c r="BM412" s="5" t="b">
        <v>0</v>
      </c>
      <c r="BN412" s="8" t="s">
        <v>1477</v>
      </c>
      <c r="CL412" s="77" t="str">
        <f t="shared" si="12"/>
        <v>spansymbolssym</v>
      </c>
    </row>
    <row r="413" spans="1:90">
      <c r="A413" s="76" t="str">
        <f t="shared" si="13"/>
        <v>span symbols bold (symb)</v>
      </c>
      <c r="B413" s="5"/>
      <c r="C413" s="5" t="s">
        <v>873</v>
      </c>
      <c r="D413" s="5" t="s">
        <v>1333</v>
      </c>
      <c r="E413" s="5" t="s">
        <v>297</v>
      </c>
      <c r="F413" s="5">
        <v>2</v>
      </c>
      <c r="G413" s="5" t="b">
        <v>0</v>
      </c>
      <c r="H413" s="5">
        <v>2</v>
      </c>
      <c r="I413" s="5" t="s">
        <v>2</v>
      </c>
      <c r="J413" s="5">
        <v>10.5</v>
      </c>
      <c r="K413" s="5" t="b">
        <v>0</v>
      </c>
      <c r="L413" s="5" t="b">
        <v>1</v>
      </c>
      <c r="M413" s="6" t="s">
        <v>68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6"/>
      <c r="AN413" s="5"/>
      <c r="AO413" s="5"/>
      <c r="AP413" s="5"/>
      <c r="AQ413" s="6"/>
      <c r="AR413" s="5"/>
      <c r="AS413" s="5"/>
      <c r="AT413" s="5"/>
      <c r="AU413" s="6"/>
      <c r="AV413" s="5"/>
      <c r="AW413" s="5"/>
      <c r="AX413" s="5"/>
      <c r="AY413" s="6"/>
      <c r="AZ413" s="5"/>
      <c r="BA413" s="5"/>
      <c r="BB413" s="5"/>
      <c r="BC413" s="5"/>
      <c r="BD413" s="5"/>
      <c r="BE413" s="5"/>
      <c r="BF413" s="6"/>
      <c r="BG413" s="6" t="s">
        <v>68</v>
      </c>
      <c r="BH413" s="5">
        <v>0</v>
      </c>
      <c r="BI413" s="5">
        <v>0</v>
      </c>
      <c r="BJ413" s="53" t="s">
        <v>380</v>
      </c>
      <c r="BK413" s="5" t="s">
        <v>101</v>
      </c>
      <c r="BL413" s="5">
        <v>0</v>
      </c>
      <c r="BM413" s="5" t="b">
        <v>0</v>
      </c>
      <c r="BN413" s="8" t="s">
        <v>1477</v>
      </c>
      <c r="CL413" s="77" t="str">
        <f t="shared" si="12"/>
        <v>spansymbolsboldsymb</v>
      </c>
    </row>
    <row r="414" spans="1:90">
      <c r="A414" s="76" t="str">
        <f t="shared" si="13"/>
        <v>span symbols ital (symi)</v>
      </c>
      <c r="B414" s="5"/>
      <c r="C414" s="5" t="s">
        <v>874</v>
      </c>
      <c r="D414" s="5" t="s">
        <v>1334</v>
      </c>
      <c r="E414" s="5" t="s">
        <v>298</v>
      </c>
      <c r="F414" s="5">
        <v>2</v>
      </c>
      <c r="G414" s="5" t="b">
        <v>0</v>
      </c>
      <c r="H414" s="5">
        <v>2</v>
      </c>
      <c r="I414" s="5" t="s">
        <v>2</v>
      </c>
      <c r="J414" s="5">
        <v>10.5</v>
      </c>
      <c r="K414" s="5" t="b">
        <v>1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6"/>
      <c r="AN414" s="5"/>
      <c r="AO414" s="5"/>
      <c r="AP414" s="5"/>
      <c r="AQ414" s="6"/>
      <c r="AR414" s="5"/>
      <c r="AS414" s="5"/>
      <c r="AT414" s="5"/>
      <c r="AU414" s="6"/>
      <c r="AV414" s="5"/>
      <c r="AW414" s="5"/>
      <c r="AX414" s="5"/>
      <c r="AY414" s="6"/>
      <c r="AZ414" s="5"/>
      <c r="BA414" s="5"/>
      <c r="BB414" s="5"/>
      <c r="BC414" s="5"/>
      <c r="BD414" s="5"/>
      <c r="BE414" s="5"/>
      <c r="BF414" s="6"/>
      <c r="BG414" s="6" t="s">
        <v>68</v>
      </c>
      <c r="BH414" s="5">
        <v>0</v>
      </c>
      <c r="BI414" s="5">
        <v>0</v>
      </c>
      <c r="BJ414" s="53" t="s">
        <v>380</v>
      </c>
      <c r="BK414" s="5" t="s">
        <v>101</v>
      </c>
      <c r="BL414" s="5">
        <v>0</v>
      </c>
      <c r="BM414" s="5" t="b">
        <v>0</v>
      </c>
      <c r="BN414" s="8" t="s">
        <v>1477</v>
      </c>
      <c r="CL414" s="77" t="str">
        <f t="shared" si="12"/>
        <v>spansymbolsitalsymi</v>
      </c>
    </row>
    <row r="415" spans="1:90">
      <c r="A415" s="76" t="str">
        <f t="shared" si="13"/>
        <v>span underscore characters (us)</v>
      </c>
      <c r="B415" s="5"/>
      <c r="C415" s="5" t="s">
        <v>875</v>
      </c>
      <c r="D415" s="5" t="s">
        <v>1335</v>
      </c>
      <c r="E415" s="5" t="s">
        <v>299</v>
      </c>
      <c r="F415" s="5">
        <v>2</v>
      </c>
      <c r="G415" s="5" t="b">
        <v>0</v>
      </c>
      <c r="H415" s="5">
        <v>2</v>
      </c>
      <c r="I415" s="5" t="s">
        <v>74</v>
      </c>
      <c r="J415" s="5">
        <v>12</v>
      </c>
      <c r="K415" s="5" t="b">
        <v>0</v>
      </c>
      <c r="L415" s="5" t="b">
        <v>0</v>
      </c>
      <c r="M415" s="6" t="s">
        <v>68</v>
      </c>
      <c r="N415" s="5" t="b">
        <v>1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1</v>
      </c>
      <c r="T415" s="5" t="b">
        <v>1</v>
      </c>
      <c r="U415" s="5" t="b">
        <v>1</v>
      </c>
      <c r="V415" s="5" t="b">
        <v>0</v>
      </c>
      <c r="W415" s="70" t="s">
        <v>482</v>
      </c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6"/>
      <c r="AN415" s="5"/>
      <c r="AO415" s="5"/>
      <c r="AP415" s="5"/>
      <c r="AQ415" s="6"/>
      <c r="AR415" s="5"/>
      <c r="AS415" s="5"/>
      <c r="AT415" s="5"/>
      <c r="AU415" s="6"/>
      <c r="AV415" s="5"/>
      <c r="AW415" s="5"/>
      <c r="AX415" s="5"/>
      <c r="AY415" s="6"/>
      <c r="AZ415" s="5"/>
      <c r="BA415" s="5"/>
      <c r="BB415" s="5"/>
      <c r="BC415" s="5"/>
      <c r="BD415" s="5"/>
      <c r="BE415" s="5"/>
      <c r="BF415" s="6"/>
      <c r="BG415" s="6" t="s">
        <v>68</v>
      </c>
      <c r="BH415" s="5">
        <v>0</v>
      </c>
      <c r="BI415" s="5">
        <v>0</v>
      </c>
      <c r="BJ415" s="55" t="s">
        <v>378</v>
      </c>
      <c r="BK415" s="5" t="s">
        <v>101</v>
      </c>
      <c r="BL415" s="5">
        <v>0</v>
      </c>
      <c r="BM415" s="5" t="b">
        <v>0</v>
      </c>
      <c r="BN415" s="8" t="s">
        <v>1477</v>
      </c>
      <c r="CL415" s="77" t="str">
        <f t="shared" si="12"/>
        <v>spanunderscorecharactersus</v>
      </c>
    </row>
    <row r="416" spans="1:90">
      <c r="A416" s="76" t="str">
        <f t="shared" si="13"/>
        <v>Story dateline (sdl)</v>
      </c>
      <c r="B416" s="5"/>
      <c r="C416" s="5" t="s">
        <v>876</v>
      </c>
      <c r="D416" s="5" t="s">
        <v>1336</v>
      </c>
      <c r="E416" s="5" t="s">
        <v>300</v>
      </c>
      <c r="F416" s="5">
        <v>1</v>
      </c>
      <c r="G416" s="5" t="b">
        <v>0</v>
      </c>
      <c r="H416" s="5">
        <v>1</v>
      </c>
      <c r="I416" s="5" t="s">
        <v>144</v>
      </c>
      <c r="J416" s="5">
        <v>11</v>
      </c>
      <c r="K416" s="5" t="b">
        <v>0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0</v>
      </c>
      <c r="T416" s="5" t="b">
        <v>0</v>
      </c>
      <c r="U416" s="5" t="b">
        <v>0</v>
      </c>
      <c r="V416" s="5" t="b">
        <v>0</v>
      </c>
      <c r="W416" s="5"/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10</v>
      </c>
      <c r="AE416" s="5">
        <v>2</v>
      </c>
      <c r="AF416" s="5">
        <v>24</v>
      </c>
      <c r="AG416" s="5">
        <v>0</v>
      </c>
      <c r="AH416" s="5">
        <v>0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68</v>
      </c>
      <c r="AN416" s="5">
        <v>0</v>
      </c>
      <c r="AO416" s="5">
        <v>6</v>
      </c>
      <c r="AP416" s="5" t="b">
        <v>1</v>
      </c>
      <c r="AQ416" s="33" t="s">
        <v>359</v>
      </c>
      <c r="AR416" s="5">
        <v>7</v>
      </c>
      <c r="AS416" s="5">
        <v>6</v>
      </c>
      <c r="AT416" s="5" t="b">
        <v>0</v>
      </c>
      <c r="AU416" s="6" t="s">
        <v>68</v>
      </c>
      <c r="AV416" s="5">
        <v>0</v>
      </c>
      <c r="AW416" s="5">
        <v>6</v>
      </c>
      <c r="AX416" s="5" t="b">
        <v>0</v>
      </c>
      <c r="AY416" s="6" t="s">
        <v>68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68</v>
      </c>
      <c r="BG416" s="6"/>
      <c r="BH416" s="5"/>
      <c r="BI416" s="5"/>
      <c r="BJ416" s="6"/>
      <c r="BK416" s="5" t="s">
        <v>1</v>
      </c>
      <c r="BL416" s="5">
        <v>0</v>
      </c>
      <c r="BM416" s="5" t="b">
        <v>0</v>
      </c>
      <c r="CL416" s="77" t="str">
        <f t="shared" si="12"/>
        <v>Storydatelinesdl</v>
      </c>
    </row>
    <row r="417" spans="1:90">
      <c r="A417" s="76" t="str">
        <f t="shared" si="13"/>
        <v>Story location line (sloc)</v>
      </c>
      <c r="B417" s="5"/>
      <c r="C417" s="5" t="s">
        <v>877</v>
      </c>
      <c r="D417" s="5" t="s">
        <v>1337</v>
      </c>
      <c r="E417" s="5" t="s">
        <v>301</v>
      </c>
      <c r="F417" s="5">
        <v>1</v>
      </c>
      <c r="G417" s="5" t="b">
        <v>0</v>
      </c>
      <c r="H417" s="5">
        <v>1</v>
      </c>
      <c r="I417" s="5" t="s">
        <v>144</v>
      </c>
      <c r="J417" s="5">
        <v>11</v>
      </c>
      <c r="K417" s="5" t="b">
        <v>0</v>
      </c>
      <c r="L417" s="5" t="b">
        <v>0</v>
      </c>
      <c r="M417" s="6" t="s">
        <v>68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0</v>
      </c>
      <c r="AB417" s="5">
        <v>0</v>
      </c>
      <c r="AC417" s="5">
        <v>0</v>
      </c>
      <c r="AD417" s="5">
        <v>10</v>
      </c>
      <c r="AE417" s="5">
        <v>2</v>
      </c>
      <c r="AF417" s="5">
        <v>24</v>
      </c>
      <c r="AG417" s="5">
        <v>0</v>
      </c>
      <c r="AH417" s="5">
        <v>0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68</v>
      </c>
      <c r="AN417" s="5">
        <v>0</v>
      </c>
      <c r="AO417" s="5">
        <v>6</v>
      </c>
      <c r="AP417" s="5" t="b">
        <v>1</v>
      </c>
      <c r="AQ417" s="33" t="s">
        <v>359</v>
      </c>
      <c r="AR417" s="5">
        <v>3</v>
      </c>
      <c r="AS417" s="5">
        <v>24</v>
      </c>
      <c r="AT417" s="5" t="b">
        <v>0</v>
      </c>
      <c r="AU417" s="6" t="s">
        <v>68</v>
      </c>
      <c r="AV417" s="5">
        <v>0</v>
      </c>
      <c r="AW417" s="5">
        <v>6</v>
      </c>
      <c r="AX417" s="5" t="b">
        <v>0</v>
      </c>
      <c r="AY417" s="6" t="s">
        <v>68</v>
      </c>
      <c r="AZ417" s="5">
        <v>0</v>
      </c>
      <c r="BA417" s="5">
        <v>6</v>
      </c>
      <c r="BB417" s="5">
        <v>4</v>
      </c>
      <c r="BC417" s="5">
        <v>4</v>
      </c>
      <c r="BD417" s="5">
        <v>1</v>
      </c>
      <c r="BE417" s="5">
        <v>1</v>
      </c>
      <c r="BF417" s="6" t="s">
        <v>68</v>
      </c>
      <c r="BG417" s="6"/>
      <c r="BH417" s="5"/>
      <c r="BI417" s="5"/>
      <c r="BJ417" s="6"/>
      <c r="BK417" s="5" t="s">
        <v>1</v>
      </c>
      <c r="BL417" s="5">
        <v>0</v>
      </c>
      <c r="BM417" s="5" t="b">
        <v>0</v>
      </c>
      <c r="CL417" s="77" t="str">
        <f t="shared" si="12"/>
        <v>Storylocationlinesloc</v>
      </c>
    </row>
    <row r="418" spans="1:90">
      <c r="A418" s="76" t="str">
        <f t="shared" si="13"/>
        <v>Sub-Recipe Head (srh)</v>
      </c>
      <c r="B418" s="5"/>
      <c r="C418" s="5" t="s">
        <v>878</v>
      </c>
      <c r="D418" s="5" t="s">
        <v>1338</v>
      </c>
      <c r="E418" s="5" t="s">
        <v>303</v>
      </c>
      <c r="F418" s="5">
        <v>1</v>
      </c>
      <c r="G418" s="5" t="b">
        <v>0</v>
      </c>
      <c r="H418" s="5">
        <v>1</v>
      </c>
      <c r="I418" s="5" t="s">
        <v>4</v>
      </c>
      <c r="J418" s="5">
        <v>18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12</v>
      </c>
      <c r="AD418" s="5">
        <v>0</v>
      </c>
      <c r="AE418" s="5">
        <v>2</v>
      </c>
      <c r="AF418" s="5">
        <v>24</v>
      </c>
      <c r="AG418" s="5">
        <v>1</v>
      </c>
      <c r="AH418" s="5">
        <v>0</v>
      </c>
      <c r="AI418" s="5">
        <v>3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57" t="s">
        <v>302</v>
      </c>
      <c r="AR418" s="5">
        <v>15</v>
      </c>
      <c r="AS418" s="5">
        <v>36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  <c r="CL418" s="77" t="str">
        <f t="shared" si="12"/>
        <v>Sub-RecipeHeadsrh</v>
      </c>
    </row>
    <row r="419" spans="1:90">
      <c r="A419" s="76" t="str">
        <f t="shared" si="13"/>
        <v>Sub-Recipe Headnote (srhn)</v>
      </c>
      <c r="B419" s="5"/>
      <c r="C419" s="5" t="s">
        <v>879</v>
      </c>
      <c r="D419" s="5" t="s">
        <v>1339</v>
      </c>
      <c r="E419" s="5" t="s">
        <v>305</v>
      </c>
      <c r="F419" s="5">
        <v>1</v>
      </c>
      <c r="G419" s="5" t="b">
        <v>0</v>
      </c>
      <c r="H419" s="5">
        <v>1</v>
      </c>
      <c r="I419" s="5" t="s">
        <v>2</v>
      </c>
      <c r="J419" s="5">
        <v>12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6</v>
      </c>
      <c r="AD419" s="5">
        <v>0</v>
      </c>
      <c r="AE419" s="5">
        <v>2</v>
      </c>
      <c r="AF419" s="5">
        <v>24</v>
      </c>
      <c r="AG419" s="5">
        <v>0</v>
      </c>
      <c r="AH419" s="5">
        <v>0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57" t="s">
        <v>302</v>
      </c>
      <c r="AR419" s="5">
        <v>8</v>
      </c>
      <c r="AS419" s="5">
        <v>12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  <c r="CL419" s="77" t="str">
        <f t="shared" si="12"/>
        <v>Sub-RecipeHeadnotesrhn</v>
      </c>
    </row>
    <row r="420" spans="1:90">
      <c r="A420" s="76" t="str">
        <f t="shared" si="13"/>
        <v>Sub-Recipe Ingredients Head (srih)</v>
      </c>
      <c r="B420" s="5"/>
      <c r="C420" s="5" t="s">
        <v>880</v>
      </c>
      <c r="D420" s="5" t="s">
        <v>1340</v>
      </c>
      <c r="E420" s="5" t="s">
        <v>304</v>
      </c>
      <c r="F420" s="5">
        <v>1</v>
      </c>
      <c r="G420" s="5" t="b">
        <v>0</v>
      </c>
      <c r="H420" s="5">
        <v>1</v>
      </c>
      <c r="I420" s="5" t="s">
        <v>4</v>
      </c>
      <c r="J420" s="5">
        <v>11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6</v>
      </c>
      <c r="AD420" s="5">
        <v>0</v>
      </c>
      <c r="AE420" s="5">
        <v>2</v>
      </c>
      <c r="AF420" s="5">
        <v>24</v>
      </c>
      <c r="AG420" s="5">
        <v>0</v>
      </c>
      <c r="AH420" s="5">
        <v>0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57" t="s">
        <v>302</v>
      </c>
      <c r="AR420" s="5">
        <v>2</v>
      </c>
      <c r="AS420" s="5">
        <v>48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  <c r="CL420" s="77" t="str">
        <f t="shared" si="12"/>
        <v>Sub-RecipeIngredientsHeadsrih</v>
      </c>
    </row>
    <row r="421" spans="1:90">
      <c r="A421" s="76" t="str">
        <f t="shared" si="13"/>
        <v>Sub-Recipe Ingredients List (sri)</v>
      </c>
      <c r="B421" s="5"/>
      <c r="C421" s="5" t="s">
        <v>881</v>
      </c>
      <c r="D421" s="5" t="s">
        <v>1341</v>
      </c>
      <c r="E421" s="5" t="s">
        <v>304</v>
      </c>
      <c r="F421" s="5">
        <v>1</v>
      </c>
      <c r="G421" s="5" t="b">
        <v>0</v>
      </c>
      <c r="H421" s="5">
        <v>1</v>
      </c>
      <c r="I421" s="5" t="s">
        <v>2</v>
      </c>
      <c r="J421" s="5">
        <v>10.5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0</v>
      </c>
      <c r="T421" s="5" t="b">
        <v>0</v>
      </c>
      <c r="U421" s="5" t="b">
        <v>0</v>
      </c>
      <c r="V421" s="5" t="b">
        <v>0</v>
      </c>
      <c r="W421" s="5"/>
      <c r="X421" s="5" t="b">
        <v>1</v>
      </c>
      <c r="Y421" s="5" t="b">
        <v>0</v>
      </c>
      <c r="Z421" s="5" t="b">
        <v>0</v>
      </c>
      <c r="AA421" s="5">
        <v>27</v>
      </c>
      <c r="AB421" s="5">
        <v>0</v>
      </c>
      <c r="AC421" s="5">
        <v>6</v>
      </c>
      <c r="AD421" s="5">
        <v>0</v>
      </c>
      <c r="AE421" s="5">
        <v>1</v>
      </c>
      <c r="AF421" s="5">
        <v>18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57" t="s">
        <v>302</v>
      </c>
      <c r="AR421" s="5">
        <v>7</v>
      </c>
      <c r="AS421" s="5">
        <v>18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31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  <c r="CL421" s="77" t="str">
        <f t="shared" si="12"/>
        <v>Sub-RecipeIngredientsListsri</v>
      </c>
    </row>
    <row r="422" spans="1:90">
      <c r="A422" s="76" t="str">
        <f t="shared" si="13"/>
        <v>Sub-Recipe Level-1 Subhead (srsh1)</v>
      </c>
      <c r="B422" s="5"/>
      <c r="C422" s="5" t="s">
        <v>882</v>
      </c>
      <c r="D422" s="5" t="s">
        <v>1342</v>
      </c>
      <c r="E422" s="5" t="s">
        <v>307</v>
      </c>
      <c r="F422" s="5">
        <v>1</v>
      </c>
      <c r="G422" s="5" t="b">
        <v>0</v>
      </c>
      <c r="H422" s="5">
        <v>1</v>
      </c>
      <c r="I422" s="5" t="s">
        <v>4</v>
      </c>
      <c r="J422" s="5">
        <v>16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12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5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57" t="s">
        <v>302</v>
      </c>
      <c r="AR422" s="5">
        <v>18</v>
      </c>
      <c r="AS422" s="5">
        <v>12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  <c r="CL422" s="77" t="str">
        <f t="shared" si="12"/>
        <v>Sub-RecipeLevel-1Subheadsrsh1</v>
      </c>
    </row>
    <row r="423" spans="1:90">
      <c r="A423" s="76" t="str">
        <f t="shared" si="13"/>
        <v>Sub-Recipe Level-2 Subhead (srsh2)</v>
      </c>
      <c r="B423" s="5"/>
      <c r="C423" s="5" t="s">
        <v>883</v>
      </c>
      <c r="D423" s="5" t="s">
        <v>1343</v>
      </c>
      <c r="E423" s="5" t="s">
        <v>307</v>
      </c>
      <c r="F423" s="5">
        <v>1</v>
      </c>
      <c r="G423" s="5" t="b">
        <v>0</v>
      </c>
      <c r="H423" s="5">
        <v>1</v>
      </c>
      <c r="I423" s="5" t="s">
        <v>2</v>
      </c>
      <c r="J423" s="5">
        <v>16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12</v>
      </c>
      <c r="AD423" s="5">
        <v>0</v>
      </c>
      <c r="AE423" s="5">
        <v>2</v>
      </c>
      <c r="AF423" s="5">
        <v>24</v>
      </c>
      <c r="AG423" s="5">
        <v>0</v>
      </c>
      <c r="AH423" s="5">
        <v>0</v>
      </c>
      <c r="AI423" s="5">
        <v>6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57" t="s">
        <v>302</v>
      </c>
      <c r="AR423" s="5">
        <v>19</v>
      </c>
      <c r="AS423" s="5">
        <v>6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  <c r="CL423" s="77" t="str">
        <f t="shared" si="12"/>
        <v>Sub-RecipeLevel-2Subheadsrsh2</v>
      </c>
    </row>
    <row r="424" spans="1:90">
      <c r="A424" s="76" t="str">
        <f t="shared" si="13"/>
        <v>Sub-Recipe Level-3 Subhead (srsh3)</v>
      </c>
      <c r="B424" s="5"/>
      <c r="C424" s="5" t="s">
        <v>884</v>
      </c>
      <c r="D424" s="5" t="s">
        <v>1344</v>
      </c>
      <c r="E424" s="5" t="s">
        <v>307</v>
      </c>
      <c r="F424" s="5">
        <v>1</v>
      </c>
      <c r="G424" s="5" t="b">
        <v>0</v>
      </c>
      <c r="H424" s="5">
        <v>1</v>
      </c>
      <c r="I424" s="5" t="s">
        <v>84</v>
      </c>
      <c r="J424" s="5">
        <v>16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12</v>
      </c>
      <c r="AD424" s="5">
        <v>0</v>
      </c>
      <c r="AE424" s="5">
        <v>2</v>
      </c>
      <c r="AF424" s="5">
        <v>24</v>
      </c>
      <c r="AG424" s="5">
        <v>0</v>
      </c>
      <c r="AH424" s="5">
        <v>0</v>
      </c>
      <c r="AI424" s="5">
        <v>7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57" t="s">
        <v>302</v>
      </c>
      <c r="AR424" s="5">
        <v>3</v>
      </c>
      <c r="AS424" s="5">
        <v>24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  <c r="CL424" s="77" t="str">
        <f t="shared" si="12"/>
        <v>Sub-RecipeLevel-3Subheadsrsh3</v>
      </c>
    </row>
    <row r="425" spans="1:90">
      <c r="A425" s="76" t="str">
        <f t="shared" si="13"/>
        <v>Sub-Recipe Level-4 Subhead (srsh4)</v>
      </c>
      <c r="B425" s="5"/>
      <c r="C425" s="5" t="s">
        <v>885</v>
      </c>
      <c r="D425" s="5" t="s">
        <v>1345</v>
      </c>
      <c r="E425" s="5" t="s">
        <v>307</v>
      </c>
      <c r="F425" s="5">
        <v>1</v>
      </c>
      <c r="G425" s="5" t="b">
        <v>0</v>
      </c>
      <c r="H425" s="5">
        <v>1</v>
      </c>
      <c r="I425" s="5" t="s">
        <v>4</v>
      </c>
      <c r="J425" s="5">
        <v>14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12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8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57" t="s">
        <v>302</v>
      </c>
      <c r="AR425" s="5">
        <v>7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  <c r="CL425" s="77" t="str">
        <f t="shared" si="12"/>
        <v>Sub-RecipeLevel-4Subheadsrsh4</v>
      </c>
    </row>
    <row r="426" spans="1:90">
      <c r="A426" s="76" t="str">
        <f t="shared" si="13"/>
        <v>Sub-Recipe Level-5 Subhead (srsh5)</v>
      </c>
      <c r="B426" s="5"/>
      <c r="C426" s="5" t="s">
        <v>886</v>
      </c>
      <c r="D426" s="5" t="s">
        <v>1346</v>
      </c>
      <c r="E426" s="5" t="s">
        <v>307</v>
      </c>
      <c r="F426" s="5">
        <v>1</v>
      </c>
      <c r="G426" s="5" t="b">
        <v>0</v>
      </c>
      <c r="H426" s="5">
        <v>1</v>
      </c>
      <c r="I426" s="5" t="s">
        <v>2</v>
      </c>
      <c r="J426" s="5">
        <v>14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0</v>
      </c>
      <c r="AD426" s="5">
        <v>0</v>
      </c>
      <c r="AE426" s="5">
        <v>2</v>
      </c>
      <c r="AF426" s="5">
        <v>24</v>
      </c>
      <c r="AG426" s="5">
        <v>0</v>
      </c>
      <c r="AH426" s="5">
        <v>0</v>
      </c>
      <c r="AI426" s="5">
        <v>9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57" t="s">
        <v>302</v>
      </c>
      <c r="AR426" s="5">
        <v>1</v>
      </c>
      <c r="AS426" s="5">
        <v>8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  <c r="CL426" s="77" t="str">
        <f t="shared" si="12"/>
        <v>Sub-RecipeLevel-5Subheadsrsh5</v>
      </c>
    </row>
    <row r="427" spans="1:90">
      <c r="A427" s="76" t="str">
        <f t="shared" si="13"/>
        <v>Sub-Recipe Procedures (srp)</v>
      </c>
      <c r="B427" s="5"/>
      <c r="C427" s="5" t="s">
        <v>887</v>
      </c>
      <c r="D427" s="5" t="s">
        <v>1347</v>
      </c>
      <c r="E427" s="5" t="s">
        <v>306</v>
      </c>
      <c r="F427" s="5">
        <v>1</v>
      </c>
      <c r="G427" s="5" t="b">
        <v>0</v>
      </c>
      <c r="H427" s="5">
        <v>1</v>
      </c>
      <c r="I427" s="5" t="s">
        <v>74</v>
      </c>
      <c r="J427" s="5">
        <v>12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0</v>
      </c>
      <c r="AE427" s="5">
        <v>2</v>
      </c>
      <c r="AF427" s="5">
        <v>24</v>
      </c>
      <c r="AG427" s="5">
        <v>0</v>
      </c>
      <c r="AH427" s="5">
        <v>36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57" t="s">
        <v>302</v>
      </c>
      <c r="AR427" s="5">
        <v>1</v>
      </c>
      <c r="AS427" s="5">
        <v>48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  <c r="CL427" s="77" t="str">
        <f t="shared" si="12"/>
        <v>Sub-RecipeProceduressrp</v>
      </c>
    </row>
    <row r="428" spans="1:90">
      <c r="A428" s="76" t="str">
        <f t="shared" si="13"/>
        <v>Sub-Recipe Procedures No Indent (rp1)</v>
      </c>
      <c r="B428" s="5"/>
      <c r="C428" s="5" t="s">
        <v>888</v>
      </c>
      <c r="D428" s="5" t="s">
        <v>1348</v>
      </c>
      <c r="E428" s="5" t="s">
        <v>307</v>
      </c>
      <c r="F428" s="5">
        <v>1</v>
      </c>
      <c r="G428" s="5" t="b">
        <v>0</v>
      </c>
      <c r="H428" s="5">
        <v>1</v>
      </c>
      <c r="I428" s="5" t="s">
        <v>74</v>
      </c>
      <c r="J428" s="5">
        <v>12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6</v>
      </c>
      <c r="AD428" s="5">
        <v>0</v>
      </c>
      <c r="AE428" s="5">
        <v>2</v>
      </c>
      <c r="AF428" s="5">
        <v>24</v>
      </c>
      <c r="AG428" s="5">
        <v>0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57" t="s">
        <v>302</v>
      </c>
      <c r="AR428" s="5">
        <v>1</v>
      </c>
      <c r="AS428" s="5">
        <v>24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  <c r="CL428" s="77" t="str">
        <f t="shared" si="12"/>
        <v>Sub-RecipeProceduresNoIndentrp1</v>
      </c>
    </row>
    <row r="429" spans="1:90">
      <c r="A429" s="76" t="str">
        <f t="shared" si="13"/>
        <v>Sub-Recipe Subhead (srsh)</v>
      </c>
      <c r="B429" s="5"/>
      <c r="C429" s="5" t="s">
        <v>889</v>
      </c>
      <c r="D429" s="5" t="s">
        <v>1349</v>
      </c>
      <c r="E429" s="5" t="s">
        <v>307</v>
      </c>
      <c r="F429" s="5">
        <v>1</v>
      </c>
      <c r="G429" s="5" t="b">
        <v>0</v>
      </c>
      <c r="H429" s="5">
        <v>1</v>
      </c>
      <c r="I429" s="5" t="s">
        <v>74</v>
      </c>
      <c r="J429" s="5">
        <v>18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1</v>
      </c>
      <c r="AH429" s="5">
        <v>0</v>
      </c>
      <c r="AI429" s="5">
        <v>4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57" t="s">
        <v>302</v>
      </c>
      <c r="AR429" s="5">
        <v>16</v>
      </c>
      <c r="AS429" s="5">
        <v>36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  <c r="CL429" s="77" t="str">
        <f t="shared" si="12"/>
        <v>Sub-RecipeSubheadsrsh</v>
      </c>
    </row>
    <row r="430" spans="1:90">
      <c r="A430" s="76" t="str">
        <f t="shared" si="13"/>
        <v>Sub-Recipe Yield (sry)</v>
      </c>
      <c r="B430" s="5"/>
      <c r="C430" s="5" t="s">
        <v>890</v>
      </c>
      <c r="D430" s="5" t="s">
        <v>1350</v>
      </c>
      <c r="E430" s="5" t="s">
        <v>308</v>
      </c>
      <c r="F430" s="5">
        <v>1</v>
      </c>
      <c r="G430" s="5" t="b">
        <v>0</v>
      </c>
      <c r="H430" s="5">
        <v>1</v>
      </c>
      <c r="I430" s="5" t="s">
        <v>144</v>
      </c>
      <c r="J430" s="5">
        <v>11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18</v>
      </c>
      <c r="AB430" s="5">
        <v>0</v>
      </c>
      <c r="AC430" s="5">
        <v>0</v>
      </c>
      <c r="AD430" s="5">
        <v>0</v>
      </c>
      <c r="AE430" s="5">
        <v>2</v>
      </c>
      <c r="AF430" s="5">
        <v>24</v>
      </c>
      <c r="AG430" s="5">
        <v>0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57" t="s">
        <v>302</v>
      </c>
      <c r="AR430" s="5">
        <v>2</v>
      </c>
      <c r="AS430" s="5">
        <v>24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22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  <c r="CL430" s="77" t="str">
        <f t="shared" si="12"/>
        <v>Sub-RecipeYieldsry</v>
      </c>
    </row>
    <row r="431" spans="1:90">
      <c r="A431" s="76" t="str">
        <f t="shared" si="13"/>
        <v>Table Body Text (tbtx)</v>
      </c>
      <c r="B431" s="5"/>
      <c r="C431" s="5" t="s">
        <v>891</v>
      </c>
      <c r="D431" s="5" t="s">
        <v>1351</v>
      </c>
      <c r="E431" s="5" t="s">
        <v>309</v>
      </c>
      <c r="F431" s="5">
        <v>1</v>
      </c>
      <c r="G431" s="5" t="b">
        <v>0</v>
      </c>
      <c r="H431" s="5">
        <v>1</v>
      </c>
      <c r="I431" s="5" t="s">
        <v>2</v>
      </c>
      <c r="J431" s="5">
        <v>10.5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10</v>
      </c>
      <c r="AE431" s="5">
        <v>5</v>
      </c>
      <c r="AF431" s="5">
        <v>13.8</v>
      </c>
      <c r="AG431" s="5">
        <v>0</v>
      </c>
      <c r="AH431" s="5">
        <v>18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0</v>
      </c>
      <c r="AQ431" s="6" t="s">
        <v>68</v>
      </c>
      <c r="AR431" s="5">
        <v>0</v>
      </c>
      <c r="AS431" s="5">
        <v>6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27" t="s">
        <v>375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  <c r="CL431" s="77" t="str">
        <f t="shared" si="12"/>
        <v>TableBodyTexttbtx</v>
      </c>
    </row>
    <row r="432" spans="1:90">
      <c r="A432" s="76" t="str">
        <f t="shared" si="13"/>
        <v>Table Body Text No-Indent (tbtx1)</v>
      </c>
      <c r="B432" s="5"/>
      <c r="C432" s="5" t="s">
        <v>892</v>
      </c>
      <c r="D432" s="5" t="s">
        <v>1352</v>
      </c>
      <c r="E432" s="5" t="s">
        <v>309</v>
      </c>
      <c r="F432" s="5">
        <v>1</v>
      </c>
      <c r="G432" s="5" t="b">
        <v>0</v>
      </c>
      <c r="H432" s="5">
        <v>1</v>
      </c>
      <c r="I432" s="5" t="s">
        <v>2</v>
      </c>
      <c r="J432" s="5">
        <v>10.5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0</v>
      </c>
      <c r="AB432" s="5">
        <v>0</v>
      </c>
      <c r="AC432" s="5">
        <v>0</v>
      </c>
      <c r="AD432" s="5">
        <v>10</v>
      </c>
      <c r="AE432" s="5">
        <v>5</v>
      </c>
      <c r="AF432" s="5">
        <v>13.8</v>
      </c>
      <c r="AG432" s="5">
        <v>0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0</v>
      </c>
      <c r="AM432" s="6" t="s">
        <v>68</v>
      </c>
      <c r="AN432" s="5">
        <v>0</v>
      </c>
      <c r="AO432" s="5">
        <v>6</v>
      </c>
      <c r="AP432" s="5" t="b">
        <v>0</v>
      </c>
      <c r="AQ432" s="6" t="s">
        <v>68</v>
      </c>
      <c r="AR432" s="5">
        <v>0</v>
      </c>
      <c r="AS432" s="5">
        <v>6</v>
      </c>
      <c r="AT432" s="5" t="b">
        <v>0</v>
      </c>
      <c r="AU432" s="6" t="s">
        <v>68</v>
      </c>
      <c r="AV432" s="5">
        <v>0</v>
      </c>
      <c r="AW432" s="5">
        <v>6</v>
      </c>
      <c r="AX432" s="5" t="b">
        <v>0</v>
      </c>
      <c r="AY432" s="6" t="s">
        <v>68</v>
      </c>
      <c r="AZ432" s="5">
        <v>0</v>
      </c>
      <c r="BA432" s="5">
        <v>6</v>
      </c>
      <c r="BB432" s="5">
        <v>4</v>
      </c>
      <c r="BC432" s="5">
        <v>4</v>
      </c>
      <c r="BD432" s="5">
        <v>1</v>
      </c>
      <c r="BE432" s="5">
        <v>1</v>
      </c>
      <c r="BF432" s="27" t="s">
        <v>375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  <c r="CL432" s="77" t="str">
        <f t="shared" si="12"/>
        <v>TableBodyTextNo-Indenttbtx1</v>
      </c>
    </row>
    <row r="433" spans="1:90">
      <c r="A433" s="76" t="str">
        <f t="shared" si="13"/>
        <v>Table Column Head (tch)</v>
      </c>
      <c r="B433" s="5"/>
      <c r="C433" s="5" t="s">
        <v>893</v>
      </c>
      <c r="D433" s="5" t="s">
        <v>1353</v>
      </c>
      <c r="E433" s="5" t="s">
        <v>310</v>
      </c>
      <c r="F433" s="5">
        <v>1</v>
      </c>
      <c r="G433" s="5" t="b">
        <v>0</v>
      </c>
      <c r="H433" s="5">
        <v>1</v>
      </c>
      <c r="I433" s="5" t="s">
        <v>4</v>
      </c>
      <c r="J433" s="5">
        <v>11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0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10</v>
      </c>
      <c r="AE433" s="5">
        <v>5</v>
      </c>
      <c r="AF433" s="5">
        <v>13.8</v>
      </c>
      <c r="AG433" s="5">
        <v>0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0</v>
      </c>
      <c r="AQ433" s="6" t="s">
        <v>68</v>
      </c>
      <c r="AR433" s="5">
        <v>0</v>
      </c>
      <c r="AS433" s="5">
        <v>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27" t="s">
        <v>375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  <c r="CL433" s="77" t="str">
        <f t="shared" si="12"/>
        <v>TableColumnHeadtch</v>
      </c>
    </row>
    <row r="434" spans="1:90">
      <c r="A434" s="76" t="str">
        <f t="shared" si="13"/>
        <v>Table Footnote (tfn)</v>
      </c>
      <c r="B434" s="5"/>
      <c r="C434" s="5" t="s">
        <v>894</v>
      </c>
      <c r="D434" s="5" t="s">
        <v>1354</v>
      </c>
      <c r="E434" s="5" t="s">
        <v>311</v>
      </c>
      <c r="F434" s="5">
        <v>1</v>
      </c>
      <c r="G434" s="5" t="b">
        <v>0</v>
      </c>
      <c r="H434" s="5">
        <v>1</v>
      </c>
      <c r="I434" s="5" t="s">
        <v>74</v>
      </c>
      <c r="J434" s="5">
        <v>10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0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0</v>
      </c>
      <c r="AQ434" s="6" t="s">
        <v>68</v>
      </c>
      <c r="AR434" s="5">
        <v>0</v>
      </c>
      <c r="AS434" s="5">
        <v>6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27" t="s">
        <v>375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  <c r="CL434" s="77" t="str">
        <f t="shared" si="12"/>
        <v>TableFootnotetfn</v>
      </c>
    </row>
    <row r="435" spans="1:90">
      <c r="A435" s="76" t="str">
        <f t="shared" si="13"/>
        <v>Table Head (th)</v>
      </c>
      <c r="B435" s="5"/>
      <c r="C435" s="5" t="s">
        <v>895</v>
      </c>
      <c r="D435" s="5" t="s">
        <v>1355</v>
      </c>
      <c r="E435" s="5" t="s">
        <v>310</v>
      </c>
      <c r="F435" s="5">
        <v>1</v>
      </c>
      <c r="G435" s="5" t="b">
        <v>0</v>
      </c>
      <c r="H435" s="5">
        <v>1</v>
      </c>
      <c r="I435" s="5" t="s">
        <v>4</v>
      </c>
      <c r="J435" s="5">
        <v>11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10</v>
      </c>
      <c r="AE435" s="5">
        <v>5</v>
      </c>
      <c r="AF435" s="5">
        <v>13.8</v>
      </c>
      <c r="AG435" s="5">
        <v>0</v>
      </c>
      <c r="AH435" s="5">
        <v>0</v>
      </c>
      <c r="AI435" s="5">
        <v>4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0</v>
      </c>
      <c r="AQ435" s="6" t="s">
        <v>68</v>
      </c>
      <c r="AR435" s="5">
        <v>0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27" t="s">
        <v>375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  <c r="CL435" s="77" t="str">
        <f t="shared" si="12"/>
        <v>TableHeadth</v>
      </c>
    </row>
    <row r="436" spans="1:90">
      <c r="A436" s="76" t="str">
        <f t="shared" si="13"/>
        <v>Table Number (tn)</v>
      </c>
      <c r="B436" s="5"/>
      <c r="C436" s="5" t="s">
        <v>896</v>
      </c>
      <c r="D436" s="5" t="s">
        <v>1356</v>
      </c>
      <c r="E436" s="5" t="s">
        <v>310</v>
      </c>
      <c r="F436" s="5">
        <v>1</v>
      </c>
      <c r="G436" s="5" t="b">
        <v>0</v>
      </c>
      <c r="H436" s="5">
        <v>1</v>
      </c>
      <c r="I436" s="5" t="s">
        <v>74</v>
      </c>
      <c r="J436" s="5">
        <v>12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0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0</v>
      </c>
      <c r="AQ436" s="6" t="s">
        <v>68</v>
      </c>
      <c r="AR436" s="5">
        <v>0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27" t="s">
        <v>375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  <c r="CL436" s="77" t="str">
        <f t="shared" si="12"/>
        <v>TableNumbertn</v>
      </c>
    </row>
    <row r="437" spans="1:90">
      <c r="A437" s="76" t="str">
        <f t="shared" si="13"/>
        <v>Table Source Note (tsn)</v>
      </c>
      <c r="B437" s="5"/>
      <c r="C437" s="5" t="s">
        <v>897</v>
      </c>
      <c r="D437" s="5" t="s">
        <v>1357</v>
      </c>
      <c r="E437" s="5" t="s">
        <v>312</v>
      </c>
      <c r="F437" s="5">
        <v>1</v>
      </c>
      <c r="G437" s="5" t="b">
        <v>0</v>
      </c>
      <c r="H437" s="5">
        <v>1</v>
      </c>
      <c r="I437" s="5" t="s">
        <v>84</v>
      </c>
      <c r="J437" s="5">
        <v>9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0</v>
      </c>
      <c r="AB437" s="5">
        <v>0</v>
      </c>
      <c r="AC437" s="5">
        <v>0</v>
      </c>
      <c r="AD437" s="5">
        <v>10</v>
      </c>
      <c r="AE437" s="5">
        <v>5</v>
      </c>
      <c r="AF437" s="5">
        <v>13.8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0</v>
      </c>
      <c r="AQ437" s="6" t="s">
        <v>68</v>
      </c>
      <c r="AR437" s="5">
        <v>0</v>
      </c>
      <c r="AS437" s="5">
        <v>6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27" t="s">
        <v>375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  <c r="CL437" s="77" t="str">
        <f t="shared" si="12"/>
        <v>TableSourceNotetsn</v>
      </c>
    </row>
    <row r="438" spans="1:90">
      <c r="A438" s="76" t="str">
        <f t="shared" si="13"/>
        <v>Table Subhead (tsh)</v>
      </c>
      <c r="B438" s="5"/>
      <c r="C438" s="5" t="s">
        <v>898</v>
      </c>
      <c r="D438" s="5" t="s">
        <v>1358</v>
      </c>
      <c r="E438" s="5" t="s">
        <v>310</v>
      </c>
      <c r="F438" s="5">
        <v>1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0</v>
      </c>
      <c r="AD438" s="5">
        <v>0</v>
      </c>
      <c r="AE438" s="5">
        <v>2</v>
      </c>
      <c r="AF438" s="5">
        <v>24</v>
      </c>
      <c r="AG438" s="5">
        <v>0</v>
      </c>
      <c r="AH438" s="5">
        <v>0</v>
      </c>
      <c r="AI438" s="5">
        <v>5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0</v>
      </c>
      <c r="AQ438" s="6" t="s">
        <v>68</v>
      </c>
      <c r="AR438" s="5">
        <v>0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27" t="s">
        <v>375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  <c r="CL438" s="77" t="str">
        <f t="shared" si="12"/>
        <v>TableSubheadtsh</v>
      </c>
    </row>
    <row r="439" spans="1:90">
      <c r="A439" s="76" t="str">
        <f t="shared" si="13"/>
        <v>Teaser Opening Text (totx)</v>
      </c>
      <c r="B439" s="5"/>
      <c r="C439" s="5" t="s">
        <v>899</v>
      </c>
      <c r="D439" s="5" t="s">
        <v>1359</v>
      </c>
      <c r="E439" s="5" t="s">
        <v>313</v>
      </c>
      <c r="F439" s="5">
        <v>1</v>
      </c>
      <c r="G439" s="5" t="b">
        <v>0</v>
      </c>
      <c r="H439" s="5">
        <v>1</v>
      </c>
      <c r="I439" s="5" t="s">
        <v>74</v>
      </c>
      <c r="J439" s="5">
        <v>12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0</v>
      </c>
      <c r="Y439" s="5" t="b">
        <v>0</v>
      </c>
      <c r="Z439" s="5" t="b">
        <v>0</v>
      </c>
      <c r="AA439" s="5">
        <v>0</v>
      </c>
      <c r="AB439" s="5">
        <v>0</v>
      </c>
      <c r="AC439" s="5">
        <v>0</v>
      </c>
      <c r="AD439" s="5">
        <v>0</v>
      </c>
      <c r="AE439" s="5">
        <v>2</v>
      </c>
      <c r="AF439" s="5">
        <v>24</v>
      </c>
      <c r="AG439" s="5">
        <v>0</v>
      </c>
      <c r="AH439" s="5">
        <v>36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1</v>
      </c>
      <c r="AQ439" s="58" t="s">
        <v>314</v>
      </c>
      <c r="AR439" s="5">
        <v>1</v>
      </c>
      <c r="AS439" s="5">
        <v>24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68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  <c r="CL439" s="77" t="str">
        <f t="shared" si="12"/>
        <v>TeaserOpeningTexttotx</v>
      </c>
    </row>
    <row r="440" spans="1:90">
      <c r="A440" s="76" t="str">
        <f t="shared" si="13"/>
        <v>Teaser Opening Text No-Indent (totx1)</v>
      </c>
      <c r="B440" s="5"/>
      <c r="C440" s="5" t="s">
        <v>900</v>
      </c>
      <c r="D440" s="5" t="s">
        <v>1360</v>
      </c>
      <c r="E440" s="5" t="s">
        <v>313</v>
      </c>
      <c r="F440" s="5">
        <v>1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2</v>
      </c>
      <c r="AF440" s="5">
        <v>24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1</v>
      </c>
      <c r="AQ440" s="58" t="s">
        <v>314</v>
      </c>
      <c r="AR440" s="5">
        <v>2</v>
      </c>
      <c r="AS440" s="5">
        <v>24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4</v>
      </c>
      <c r="BC440" s="5">
        <v>4</v>
      </c>
      <c r="BD440" s="5">
        <v>1</v>
      </c>
      <c r="BE440" s="5">
        <v>1</v>
      </c>
      <c r="BF440" s="6" t="s">
        <v>68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  <c r="CL440" s="77" t="str">
        <f t="shared" si="12"/>
        <v>TeaserOpeningTextNo-Indenttotx1</v>
      </c>
    </row>
    <row r="441" spans="1:90">
      <c r="A441" s="76" t="str">
        <f t="shared" si="13"/>
        <v>Text - Computer Type (com)</v>
      </c>
      <c r="B441" s="5"/>
      <c r="C441" s="5" t="s">
        <v>901</v>
      </c>
      <c r="D441" s="5" t="s">
        <v>1361</v>
      </c>
      <c r="E441" s="5" t="s">
        <v>316</v>
      </c>
      <c r="F441" s="5">
        <v>1</v>
      </c>
      <c r="G441" s="5" t="b">
        <v>0</v>
      </c>
      <c r="H441" s="5">
        <v>1</v>
      </c>
      <c r="I441" s="5" t="s">
        <v>144</v>
      </c>
      <c r="J441" s="5">
        <v>11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0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0</v>
      </c>
      <c r="AE441" s="5">
        <v>2</v>
      </c>
      <c r="AF441" s="5">
        <v>24</v>
      </c>
      <c r="AG441" s="5">
        <v>0</v>
      </c>
      <c r="AH441" s="5">
        <v>36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33" t="s">
        <v>359</v>
      </c>
      <c r="AR441" s="5">
        <v>15</v>
      </c>
      <c r="AS441" s="5">
        <v>36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  <c r="CL441" s="77" t="str">
        <f t="shared" si="12"/>
        <v>Text-ComputerTypecom</v>
      </c>
    </row>
    <row r="442" spans="1:90">
      <c r="A442" s="76" t="str">
        <f t="shared" si="13"/>
        <v>Text - Computer Type No-Indent (com1)</v>
      </c>
      <c r="B442" s="5"/>
      <c r="C442" s="5" t="s">
        <v>902</v>
      </c>
      <c r="D442" s="5" t="s">
        <v>1362</v>
      </c>
      <c r="E442" s="5" t="s">
        <v>316</v>
      </c>
      <c r="F442" s="5">
        <v>1</v>
      </c>
      <c r="G442" s="5" t="b">
        <v>0</v>
      </c>
      <c r="H442" s="5">
        <v>1</v>
      </c>
      <c r="I442" s="5" t="s">
        <v>144</v>
      </c>
      <c r="J442" s="5">
        <v>11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2</v>
      </c>
      <c r="AF442" s="5">
        <v>24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33" t="s">
        <v>359</v>
      </c>
      <c r="AR442" s="5">
        <v>16</v>
      </c>
      <c r="AS442" s="5">
        <v>36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  <c r="CL442" s="77" t="str">
        <f t="shared" si="12"/>
        <v>Text-ComputerTypeNo-Indentcom1</v>
      </c>
    </row>
    <row r="443" spans="1:90">
      <c r="A443" s="76" t="str">
        <f t="shared" si="13"/>
        <v>Text - Dialogue (dia)</v>
      </c>
      <c r="B443" s="5"/>
      <c r="C443" s="5" t="s">
        <v>903</v>
      </c>
      <c r="D443" s="5" t="s">
        <v>1363</v>
      </c>
      <c r="E443" s="5" t="s">
        <v>317</v>
      </c>
      <c r="F443" s="5">
        <v>1</v>
      </c>
      <c r="G443" s="5" t="b">
        <v>0</v>
      </c>
      <c r="H443" s="5">
        <v>1</v>
      </c>
      <c r="I443" s="5" t="s">
        <v>2</v>
      </c>
      <c r="J443" s="5">
        <v>10.5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0</v>
      </c>
      <c r="Y443" s="5" t="b">
        <v>0</v>
      </c>
      <c r="Z443" s="5" t="b">
        <v>0</v>
      </c>
      <c r="AA443" s="5">
        <v>45</v>
      </c>
      <c r="AB443" s="5">
        <v>27</v>
      </c>
      <c r="AC443" s="5">
        <v>0</v>
      </c>
      <c r="AD443" s="5">
        <v>6</v>
      </c>
      <c r="AE443" s="5">
        <v>2</v>
      </c>
      <c r="AF443" s="5">
        <v>24</v>
      </c>
      <c r="AG443" s="5">
        <v>0</v>
      </c>
      <c r="AH443" s="5">
        <v>-18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33" t="s">
        <v>359</v>
      </c>
      <c r="AR443" s="5">
        <v>1</v>
      </c>
      <c r="AS443" s="5">
        <v>18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31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  <c r="CL443" s="77" t="str">
        <f t="shared" si="12"/>
        <v>Text-Dialoguedia</v>
      </c>
    </row>
    <row r="444" spans="1:90">
      <c r="A444" s="76" t="str">
        <f t="shared" si="13"/>
        <v>Text - Narrative (nar)</v>
      </c>
      <c r="B444" s="5"/>
      <c r="C444" s="5" t="s">
        <v>904</v>
      </c>
      <c r="D444" s="5" t="s">
        <v>1364</v>
      </c>
      <c r="E444" s="5" t="s">
        <v>318</v>
      </c>
      <c r="F444" s="5">
        <v>1</v>
      </c>
      <c r="G444" s="5" t="b">
        <v>0</v>
      </c>
      <c r="H444" s="5">
        <v>1</v>
      </c>
      <c r="I444" s="5" t="s">
        <v>84</v>
      </c>
      <c r="J444" s="5">
        <v>10.5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0</v>
      </c>
      <c r="AB444" s="5">
        <v>0</v>
      </c>
      <c r="AC444" s="5">
        <v>0</v>
      </c>
      <c r="AD444" s="5">
        <v>0</v>
      </c>
      <c r="AE444" s="5">
        <v>2</v>
      </c>
      <c r="AF444" s="5">
        <v>24</v>
      </c>
      <c r="AG444" s="5">
        <v>0</v>
      </c>
      <c r="AH444" s="5">
        <v>36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33" t="s">
        <v>359</v>
      </c>
      <c r="AR444" s="5">
        <v>18</v>
      </c>
      <c r="AS444" s="5">
        <v>12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  <c r="CL444" s="77" t="str">
        <f t="shared" si="12"/>
        <v>Text-Narrativenar</v>
      </c>
    </row>
    <row r="445" spans="1:90">
      <c r="A445" s="76" t="str">
        <f t="shared" si="13"/>
        <v>Text - Narrative No-Indent (nar1)</v>
      </c>
      <c r="B445" s="5"/>
      <c r="C445" s="5" t="s">
        <v>905</v>
      </c>
      <c r="D445" s="5" t="s">
        <v>1365</v>
      </c>
      <c r="E445" s="5" t="s">
        <v>318</v>
      </c>
      <c r="F445" s="5">
        <v>1</v>
      </c>
      <c r="G445" s="5" t="b">
        <v>0</v>
      </c>
      <c r="H445" s="5">
        <v>1</v>
      </c>
      <c r="I445" s="5" t="s">
        <v>84</v>
      </c>
      <c r="J445" s="5">
        <v>10.5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0</v>
      </c>
      <c r="Y445" s="5" t="b">
        <v>0</v>
      </c>
      <c r="Z445" s="5" t="b">
        <v>0</v>
      </c>
      <c r="AA445" s="5">
        <v>0</v>
      </c>
      <c r="AB445" s="5">
        <v>0</v>
      </c>
      <c r="AC445" s="5">
        <v>0</v>
      </c>
      <c r="AD445" s="5">
        <v>0</v>
      </c>
      <c r="AE445" s="5">
        <v>2</v>
      </c>
      <c r="AF445" s="5">
        <v>24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33" t="s">
        <v>359</v>
      </c>
      <c r="AR445" s="5">
        <v>19</v>
      </c>
      <c r="AS445" s="5">
        <v>6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  <c r="CL445" s="77" t="str">
        <f t="shared" si="12"/>
        <v>Text-NarrativeNo-Indentnar1</v>
      </c>
    </row>
    <row r="446" spans="1:90">
      <c r="A446" s="76" t="str">
        <f t="shared" si="13"/>
        <v>Text - Standard (tx)</v>
      </c>
      <c r="B446" s="5"/>
      <c r="C446" s="5" t="s">
        <v>906</v>
      </c>
      <c r="D446" s="5" t="s">
        <v>1366</v>
      </c>
      <c r="E446" s="5" t="s">
        <v>234</v>
      </c>
      <c r="F446" s="5">
        <v>1</v>
      </c>
      <c r="G446" s="5" t="b">
        <v>1</v>
      </c>
      <c r="H446" s="5">
        <v>1</v>
      </c>
      <c r="I446" s="5" t="s">
        <v>74</v>
      </c>
      <c r="J446" s="5">
        <v>12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1</v>
      </c>
      <c r="T446" s="5" t="b">
        <v>1</v>
      </c>
      <c r="U446" s="5" t="b">
        <v>1</v>
      </c>
      <c r="V446" s="5" t="b">
        <v>0</v>
      </c>
      <c r="W446" s="70" t="s">
        <v>486</v>
      </c>
      <c r="X446" s="5" t="b">
        <v>0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2</v>
      </c>
      <c r="AF446" s="5">
        <v>24</v>
      </c>
      <c r="AG446" s="5">
        <v>0</v>
      </c>
      <c r="AH446" s="5">
        <v>36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33" t="s">
        <v>359</v>
      </c>
      <c r="AR446" s="5">
        <v>1</v>
      </c>
      <c r="AS446" s="5">
        <v>48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  <c r="CL446" s="77" t="str">
        <f t="shared" si="12"/>
        <v>Text-Standardtx</v>
      </c>
    </row>
    <row r="447" spans="1:90">
      <c r="A447" s="76" t="str">
        <f t="shared" si="13"/>
        <v>Text - Standard ALT (atx)</v>
      </c>
      <c r="B447" s="5"/>
      <c r="C447" s="5" t="s">
        <v>907</v>
      </c>
      <c r="D447" s="5" t="s">
        <v>1367</v>
      </c>
      <c r="E447" s="5" t="s">
        <v>319</v>
      </c>
      <c r="F447" s="5">
        <v>1</v>
      </c>
      <c r="G447" s="5" t="b">
        <v>0</v>
      </c>
      <c r="H447" s="5">
        <v>1</v>
      </c>
      <c r="I447" s="5" t="s">
        <v>2</v>
      </c>
      <c r="J447" s="5">
        <v>10.5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36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33" t="s">
        <v>359</v>
      </c>
      <c r="AR447" s="5">
        <v>2</v>
      </c>
      <c r="AS447" s="5">
        <v>48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  <c r="CL447" s="77" t="str">
        <f t="shared" si="12"/>
        <v>Text-StandardALTatx</v>
      </c>
    </row>
    <row r="448" spans="1:90">
      <c r="A448" s="76" t="str">
        <f t="shared" si="13"/>
        <v>Text - Standard Space After (tx#)</v>
      </c>
      <c r="B448" s="5"/>
      <c r="C448" s="5" t="s">
        <v>908</v>
      </c>
      <c r="D448" s="5" t="s">
        <v>1368</v>
      </c>
      <c r="E448" s="5" t="s">
        <v>319</v>
      </c>
      <c r="F448" s="5">
        <v>1</v>
      </c>
      <c r="G448" s="5" t="b">
        <v>0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12</v>
      </c>
      <c r="AE448" s="5">
        <v>2</v>
      </c>
      <c r="AF448" s="5">
        <v>24</v>
      </c>
      <c r="AG448" s="5">
        <v>0</v>
      </c>
      <c r="AH448" s="5">
        <v>36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33" t="s">
        <v>359</v>
      </c>
      <c r="AR448" s="5">
        <v>1</v>
      </c>
      <c r="AS448" s="5">
        <v>24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  <c r="CL448" s="77" t="str">
        <f t="shared" si="12"/>
        <v>Text-StandardSpaceAftertx</v>
      </c>
    </row>
    <row r="449" spans="1:90">
      <c r="A449" s="76" t="str">
        <f t="shared" si="13"/>
        <v>Text - Standard Space Around (#tx#)</v>
      </c>
      <c r="B449" s="5"/>
      <c r="C449" s="5" t="s">
        <v>909</v>
      </c>
      <c r="D449" s="5" t="s">
        <v>1369</v>
      </c>
      <c r="E449" s="5" t="s">
        <v>234</v>
      </c>
      <c r="F449" s="5">
        <v>1</v>
      </c>
      <c r="G449" s="5" t="b">
        <v>0</v>
      </c>
      <c r="H449" s="5">
        <v>1</v>
      </c>
      <c r="I449" s="5" t="s">
        <v>74</v>
      </c>
      <c r="J449" s="5">
        <v>12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0</v>
      </c>
      <c r="AB449" s="5">
        <v>0</v>
      </c>
      <c r="AC449" s="5">
        <v>18</v>
      </c>
      <c r="AD449" s="5">
        <v>18</v>
      </c>
      <c r="AE449" s="5">
        <v>2</v>
      </c>
      <c r="AF449" s="5">
        <v>24</v>
      </c>
      <c r="AG449" s="5">
        <v>0</v>
      </c>
      <c r="AH449" s="5">
        <v>36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33" t="s">
        <v>359</v>
      </c>
      <c r="AR449" s="5">
        <v>1</v>
      </c>
      <c r="AS449" s="5">
        <v>36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  <c r="CL449" s="77" t="str">
        <f t="shared" si="12"/>
        <v>Text-StandardSpaceAroundtx</v>
      </c>
    </row>
    <row r="450" spans="1:90">
      <c r="A450" s="76" t="str">
        <f t="shared" si="13"/>
        <v>Text - Standard Space Before (#tx)</v>
      </c>
      <c r="B450" s="5"/>
      <c r="C450" s="5" t="s">
        <v>910</v>
      </c>
      <c r="D450" s="5" t="s">
        <v>1370</v>
      </c>
      <c r="E450" s="5" t="s">
        <v>234</v>
      </c>
      <c r="F450" s="5">
        <v>1</v>
      </c>
      <c r="G450" s="5" t="b">
        <v>0</v>
      </c>
      <c r="H450" s="5">
        <v>1</v>
      </c>
      <c r="I450" s="5" t="s">
        <v>74</v>
      </c>
      <c r="J450" s="5">
        <v>12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18</v>
      </c>
      <c r="AD450" s="5">
        <v>0</v>
      </c>
      <c r="AE450" s="5">
        <v>2</v>
      </c>
      <c r="AF450" s="5">
        <v>24</v>
      </c>
      <c r="AG450" s="5">
        <v>0</v>
      </c>
      <c r="AH450" s="5">
        <v>36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33" t="s">
        <v>359</v>
      </c>
      <c r="AR450" s="5">
        <v>1</v>
      </c>
      <c r="AS450" s="5">
        <v>12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  <c r="CL450" s="77" t="str">
        <f t="shared" ref="CL450:CL513" si="14">SUBSTITUTE(SUBSTITUTE(SUBSTITUTE(SUBSTITUTE(A450, "(",""),")","")," ",""),"#","")</f>
        <v>Text-StandardSpaceBeforetx</v>
      </c>
    </row>
    <row r="451" spans="1:90">
      <c r="A451" s="76" t="str">
        <f t="shared" ref="A451:A514" si="15">IF($D451="","",TRIM($C451)&amp;" "&amp;CHAR(40)&amp;TRIM($D451)&amp;CHAR(41))</f>
        <v>Text - Std No-Indent (tx1)</v>
      </c>
      <c r="B451" s="5"/>
      <c r="C451" s="5" t="s">
        <v>911</v>
      </c>
      <c r="D451" s="5" t="s">
        <v>1371</v>
      </c>
      <c r="E451" s="5" t="s">
        <v>234</v>
      </c>
      <c r="F451" s="5">
        <v>1</v>
      </c>
      <c r="G451" s="5" t="b">
        <v>1</v>
      </c>
      <c r="H451" s="5">
        <v>1</v>
      </c>
      <c r="I451" s="5" t="s">
        <v>74</v>
      </c>
      <c r="J451" s="5">
        <v>12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1</v>
      </c>
      <c r="T451" s="5" t="b">
        <v>1</v>
      </c>
      <c r="U451" s="5" t="b">
        <v>1</v>
      </c>
      <c r="V451" s="5" t="b">
        <v>0</v>
      </c>
      <c r="W451" s="70" t="s">
        <v>402</v>
      </c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0</v>
      </c>
      <c r="AH451" s="5">
        <v>0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33" t="s">
        <v>359</v>
      </c>
      <c r="AR451" s="5">
        <v>7</v>
      </c>
      <c r="AS451" s="5">
        <v>18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  <c r="CL451" s="77" t="str">
        <f t="shared" si="14"/>
        <v>Text-StdNo-Indenttx1</v>
      </c>
    </row>
    <row r="452" spans="1:90">
      <c r="A452" s="76" t="str">
        <f t="shared" si="15"/>
        <v>Text - Std No-Indent ALT (atx1)</v>
      </c>
      <c r="B452" s="5"/>
      <c r="C452" s="5" t="s">
        <v>912</v>
      </c>
      <c r="D452" s="5" t="s">
        <v>1372</v>
      </c>
      <c r="E452" s="5" t="s">
        <v>319</v>
      </c>
      <c r="F452" s="5">
        <v>1</v>
      </c>
      <c r="G452" s="5" t="b">
        <v>0</v>
      </c>
      <c r="H452" s="5">
        <v>1</v>
      </c>
      <c r="I452" s="5" t="s">
        <v>2</v>
      </c>
      <c r="J452" s="5">
        <v>10.5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 t="b">
        <v>0</v>
      </c>
      <c r="Y452" s="5" t="b">
        <v>0</v>
      </c>
      <c r="Z452" s="5" t="b">
        <v>0</v>
      </c>
      <c r="AA452" s="5">
        <v>0</v>
      </c>
      <c r="AB452" s="5">
        <v>0</v>
      </c>
      <c r="AC452" s="5">
        <v>6</v>
      </c>
      <c r="AD452" s="5">
        <v>0</v>
      </c>
      <c r="AE452" s="5">
        <v>2</v>
      </c>
      <c r="AF452" s="5">
        <v>24</v>
      </c>
      <c r="AG452" s="5">
        <v>0</v>
      </c>
      <c r="AH452" s="5">
        <v>0</v>
      </c>
      <c r="AI452" s="5">
        <v>10</v>
      </c>
      <c r="AJ452" s="5" t="b">
        <v>0</v>
      </c>
      <c r="AK452" s="5" t="b">
        <v>0</v>
      </c>
      <c r="AL452" s="5" t="b">
        <v>0</v>
      </c>
      <c r="AM452" s="6" t="s">
        <v>68</v>
      </c>
      <c r="AN452" s="5">
        <v>0</v>
      </c>
      <c r="AO452" s="5">
        <v>6</v>
      </c>
      <c r="AP452" s="5" t="b">
        <v>1</v>
      </c>
      <c r="AQ452" s="33" t="s">
        <v>359</v>
      </c>
      <c r="AR452" s="5">
        <v>8</v>
      </c>
      <c r="AS452" s="5">
        <v>12</v>
      </c>
      <c r="AT452" s="5" t="b">
        <v>0</v>
      </c>
      <c r="AU452" s="6" t="s">
        <v>68</v>
      </c>
      <c r="AV452" s="5">
        <v>0</v>
      </c>
      <c r="AW452" s="5">
        <v>6</v>
      </c>
      <c r="AX452" s="5" t="b">
        <v>0</v>
      </c>
      <c r="AY452" s="6" t="s">
        <v>68</v>
      </c>
      <c r="AZ452" s="5">
        <v>0</v>
      </c>
      <c r="BA452" s="5">
        <v>6</v>
      </c>
      <c r="BB452" s="5">
        <v>4</v>
      </c>
      <c r="BC452" s="5">
        <v>4</v>
      </c>
      <c r="BD452" s="5">
        <v>1</v>
      </c>
      <c r="BE452" s="5">
        <v>1</v>
      </c>
      <c r="BF452" s="6" t="s">
        <v>68</v>
      </c>
      <c r="BG452" s="6"/>
      <c r="BH452" s="5"/>
      <c r="BI452" s="5"/>
      <c r="BJ452" s="6"/>
      <c r="BK452" s="5" t="s">
        <v>1</v>
      </c>
      <c r="BL452" s="5">
        <v>0</v>
      </c>
      <c r="BM452" s="5" t="b">
        <v>0</v>
      </c>
      <c r="CL452" s="77" t="str">
        <f t="shared" si="14"/>
        <v>Text-StdNo-IndentALTatx1</v>
      </c>
    </row>
    <row r="453" spans="1:90">
      <c r="A453" s="76" t="str">
        <f t="shared" si="15"/>
        <v>Text - Std No-Indent Space After (tx1#)</v>
      </c>
      <c r="B453" s="5"/>
      <c r="C453" s="5" t="s">
        <v>913</v>
      </c>
      <c r="D453" s="5" t="s">
        <v>1373</v>
      </c>
      <c r="E453" s="5" t="s">
        <v>234</v>
      </c>
      <c r="F453" s="5">
        <v>1</v>
      </c>
      <c r="G453" s="5" t="b">
        <v>0</v>
      </c>
      <c r="H453" s="5">
        <v>1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 t="b">
        <v>0</v>
      </c>
      <c r="Y453" s="5" t="b">
        <v>0</v>
      </c>
      <c r="Z453" s="5" t="b">
        <v>0</v>
      </c>
      <c r="AA453" s="5">
        <v>0</v>
      </c>
      <c r="AB453" s="5">
        <v>0</v>
      </c>
      <c r="AC453" s="5">
        <v>0</v>
      </c>
      <c r="AD453" s="5">
        <v>18</v>
      </c>
      <c r="AE453" s="5">
        <v>2</v>
      </c>
      <c r="AF453" s="5">
        <v>24</v>
      </c>
      <c r="AG453" s="5">
        <v>0</v>
      </c>
      <c r="AH453" s="5">
        <v>0</v>
      </c>
      <c r="AI453" s="5">
        <v>10</v>
      </c>
      <c r="AJ453" s="5" t="b">
        <v>0</v>
      </c>
      <c r="AK453" s="5" t="b">
        <v>0</v>
      </c>
      <c r="AL453" s="5" t="b">
        <v>0</v>
      </c>
      <c r="AM453" s="6" t="s">
        <v>68</v>
      </c>
      <c r="AN453" s="5">
        <v>0</v>
      </c>
      <c r="AO453" s="5">
        <v>6</v>
      </c>
      <c r="AP453" s="5" t="b">
        <v>1</v>
      </c>
      <c r="AQ453" s="33" t="s">
        <v>359</v>
      </c>
      <c r="AR453" s="5">
        <v>7</v>
      </c>
      <c r="AS453" s="5">
        <v>12</v>
      </c>
      <c r="AT453" s="5" t="b">
        <v>0</v>
      </c>
      <c r="AU453" s="6" t="s">
        <v>68</v>
      </c>
      <c r="AV453" s="5">
        <v>0</v>
      </c>
      <c r="AW453" s="5">
        <v>6</v>
      </c>
      <c r="AX453" s="5" t="b">
        <v>0</v>
      </c>
      <c r="AY453" s="6" t="s">
        <v>68</v>
      </c>
      <c r="AZ453" s="5">
        <v>0</v>
      </c>
      <c r="BA453" s="5">
        <v>6</v>
      </c>
      <c r="BB453" s="5">
        <v>4</v>
      </c>
      <c r="BC453" s="5">
        <v>4</v>
      </c>
      <c r="BD453" s="5">
        <v>1</v>
      </c>
      <c r="BE453" s="5">
        <v>1</v>
      </c>
      <c r="BF453" s="6" t="s">
        <v>68</v>
      </c>
      <c r="BG453" s="6"/>
      <c r="BH453" s="5"/>
      <c r="BI453" s="5"/>
      <c r="BJ453" s="6"/>
      <c r="BK453" s="5" t="s">
        <v>1</v>
      </c>
      <c r="BL453" s="5">
        <v>0</v>
      </c>
      <c r="BM453" s="5" t="b">
        <v>0</v>
      </c>
      <c r="CL453" s="77" t="str">
        <f t="shared" si="14"/>
        <v>Text-StdNo-IndentSpaceAftertx1</v>
      </c>
    </row>
    <row r="454" spans="1:90">
      <c r="A454" s="76" t="str">
        <f t="shared" si="15"/>
        <v>Text - Std No-Indent Space Around (#tx1#)</v>
      </c>
      <c r="B454" s="5"/>
      <c r="C454" s="5" t="s">
        <v>914</v>
      </c>
      <c r="D454" s="5" t="s">
        <v>1374</v>
      </c>
      <c r="E454" s="5" t="s">
        <v>234</v>
      </c>
      <c r="F454" s="5">
        <v>1</v>
      </c>
      <c r="G454" s="5" t="b">
        <v>0</v>
      </c>
      <c r="H454" s="5">
        <v>1</v>
      </c>
      <c r="I454" s="5" t="s">
        <v>74</v>
      </c>
      <c r="J454" s="5">
        <v>12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 t="b">
        <v>0</v>
      </c>
      <c r="Y454" s="5" t="b">
        <v>0</v>
      </c>
      <c r="Z454" s="5" t="b">
        <v>0</v>
      </c>
      <c r="AA454" s="5">
        <v>0</v>
      </c>
      <c r="AB454" s="5">
        <v>0</v>
      </c>
      <c r="AC454" s="5">
        <v>18</v>
      </c>
      <c r="AD454" s="5">
        <v>18</v>
      </c>
      <c r="AE454" s="5">
        <v>2</v>
      </c>
      <c r="AF454" s="5">
        <v>24</v>
      </c>
      <c r="AG454" s="5">
        <v>0</v>
      </c>
      <c r="AH454" s="5">
        <v>0</v>
      </c>
      <c r="AI454" s="5">
        <v>10</v>
      </c>
      <c r="AJ454" s="5" t="b">
        <v>0</v>
      </c>
      <c r="AK454" s="5" t="b">
        <v>0</v>
      </c>
      <c r="AL454" s="5" t="b">
        <v>0</v>
      </c>
      <c r="AM454" s="6" t="s">
        <v>68</v>
      </c>
      <c r="AN454" s="5">
        <v>0</v>
      </c>
      <c r="AO454" s="5">
        <v>6</v>
      </c>
      <c r="AP454" s="5" t="b">
        <v>1</v>
      </c>
      <c r="AQ454" s="33" t="s">
        <v>359</v>
      </c>
      <c r="AR454" s="5">
        <v>7</v>
      </c>
      <c r="AS454" s="5">
        <v>24</v>
      </c>
      <c r="AT454" s="5" t="b">
        <v>0</v>
      </c>
      <c r="AU454" s="6" t="s">
        <v>68</v>
      </c>
      <c r="AV454" s="5">
        <v>0</v>
      </c>
      <c r="AW454" s="5">
        <v>6</v>
      </c>
      <c r="AX454" s="5" t="b">
        <v>0</v>
      </c>
      <c r="AY454" s="6" t="s">
        <v>68</v>
      </c>
      <c r="AZ454" s="5">
        <v>0</v>
      </c>
      <c r="BA454" s="5">
        <v>6</v>
      </c>
      <c r="BB454" s="5">
        <v>4</v>
      </c>
      <c r="BC454" s="5">
        <v>4</v>
      </c>
      <c r="BD454" s="5">
        <v>1</v>
      </c>
      <c r="BE454" s="5">
        <v>1</v>
      </c>
      <c r="BF454" s="6" t="s">
        <v>68</v>
      </c>
      <c r="BG454" s="6"/>
      <c r="BH454" s="5"/>
      <c r="BI454" s="5"/>
      <c r="BJ454" s="6"/>
      <c r="BK454" s="5" t="s">
        <v>1</v>
      </c>
      <c r="BL454" s="5">
        <v>0</v>
      </c>
      <c r="BM454" s="5" t="b">
        <v>0</v>
      </c>
      <c r="CL454" s="77" t="str">
        <f t="shared" si="14"/>
        <v>Text-StdNo-IndentSpaceAroundtx1</v>
      </c>
    </row>
    <row r="455" spans="1:90">
      <c r="A455" s="76" t="str">
        <f t="shared" si="15"/>
        <v>Text - Std No-Indent Space Before (#tx1)</v>
      </c>
      <c r="B455" s="5"/>
      <c r="C455" s="5" t="s">
        <v>915</v>
      </c>
      <c r="D455" s="5" t="s">
        <v>1375</v>
      </c>
      <c r="E455" s="5" t="s">
        <v>234</v>
      </c>
      <c r="F455" s="5">
        <v>1</v>
      </c>
      <c r="G455" s="5" t="b">
        <v>0</v>
      </c>
      <c r="H455" s="5">
        <v>1</v>
      </c>
      <c r="I455" s="5" t="s">
        <v>74</v>
      </c>
      <c r="J455" s="5">
        <v>12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 t="b">
        <v>0</v>
      </c>
      <c r="Y455" s="5" t="b">
        <v>0</v>
      </c>
      <c r="Z455" s="5" t="b">
        <v>0</v>
      </c>
      <c r="AA455" s="5">
        <v>0</v>
      </c>
      <c r="AB455" s="5">
        <v>0</v>
      </c>
      <c r="AC455" s="5">
        <v>18</v>
      </c>
      <c r="AD455" s="5">
        <v>0</v>
      </c>
      <c r="AE455" s="5">
        <v>2</v>
      </c>
      <c r="AF455" s="5">
        <v>24</v>
      </c>
      <c r="AG455" s="5">
        <v>0</v>
      </c>
      <c r="AH455" s="5">
        <v>0</v>
      </c>
      <c r="AI455" s="5">
        <v>10</v>
      </c>
      <c r="AJ455" s="5" t="b">
        <v>0</v>
      </c>
      <c r="AK455" s="5" t="b">
        <v>0</v>
      </c>
      <c r="AL455" s="5" t="b">
        <v>0</v>
      </c>
      <c r="AM455" s="6" t="s">
        <v>68</v>
      </c>
      <c r="AN455" s="5">
        <v>0</v>
      </c>
      <c r="AO455" s="5">
        <v>6</v>
      </c>
      <c r="AP455" s="5" t="b">
        <v>1</v>
      </c>
      <c r="AQ455" s="33" t="s">
        <v>359</v>
      </c>
      <c r="AR455" s="5">
        <v>7</v>
      </c>
      <c r="AS455" s="5">
        <v>6</v>
      </c>
      <c r="AT455" s="5" t="b">
        <v>0</v>
      </c>
      <c r="AU455" s="6" t="s">
        <v>68</v>
      </c>
      <c r="AV455" s="5">
        <v>0</v>
      </c>
      <c r="AW455" s="5">
        <v>6</v>
      </c>
      <c r="AX455" s="5" t="b">
        <v>0</v>
      </c>
      <c r="AY455" s="6" t="s">
        <v>68</v>
      </c>
      <c r="AZ455" s="5">
        <v>0</v>
      </c>
      <c r="BA455" s="5">
        <v>6</v>
      </c>
      <c r="BB455" s="5">
        <v>4</v>
      </c>
      <c r="BC455" s="5">
        <v>4</v>
      </c>
      <c r="BD455" s="5">
        <v>1</v>
      </c>
      <c r="BE455" s="5">
        <v>1</v>
      </c>
      <c r="BF455" s="6" t="s">
        <v>68</v>
      </c>
      <c r="BG455" s="6"/>
      <c r="BH455" s="5"/>
      <c r="BI455" s="5"/>
      <c r="BJ455" s="6"/>
      <c r="BK455" s="5" t="s">
        <v>1</v>
      </c>
      <c r="BL455" s="5">
        <v>0</v>
      </c>
      <c r="BM455" s="5" t="b">
        <v>0</v>
      </c>
      <c r="CL455" s="77" t="str">
        <f t="shared" si="14"/>
        <v>Text-StdNo-IndentSpaceBeforetx1</v>
      </c>
    </row>
    <row r="456" spans="1:90">
      <c r="A456" s="76" t="str">
        <f t="shared" si="15"/>
        <v>Titlepage Author Name (au)</v>
      </c>
      <c r="B456" s="5"/>
      <c r="C456" s="5" t="s">
        <v>916</v>
      </c>
      <c r="D456" s="5" t="s">
        <v>1376</v>
      </c>
      <c r="E456" s="5" t="s">
        <v>323</v>
      </c>
      <c r="F456" s="5">
        <v>1</v>
      </c>
      <c r="G456" s="5" t="b">
        <v>0</v>
      </c>
      <c r="H456" s="5">
        <v>1</v>
      </c>
      <c r="I456" s="5" t="s">
        <v>74</v>
      </c>
      <c r="J456" s="5">
        <v>12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 t="b">
        <v>0</v>
      </c>
      <c r="Y456" s="5" t="b">
        <v>0</v>
      </c>
      <c r="Z456" s="5" t="b">
        <v>0</v>
      </c>
      <c r="AA456" s="5">
        <v>0</v>
      </c>
      <c r="AB456" s="5">
        <v>0</v>
      </c>
      <c r="AC456" s="5">
        <v>24</v>
      </c>
      <c r="AD456" s="5">
        <v>0</v>
      </c>
      <c r="AE456" s="5">
        <v>2</v>
      </c>
      <c r="AF456" s="5">
        <v>24</v>
      </c>
      <c r="AG456" s="5">
        <v>1</v>
      </c>
      <c r="AH456" s="5">
        <v>0</v>
      </c>
      <c r="AI456" s="5">
        <v>10</v>
      </c>
      <c r="AJ456" s="5" t="b">
        <v>0</v>
      </c>
      <c r="AK456" s="5" t="b">
        <v>0</v>
      </c>
      <c r="AL456" s="5" t="b">
        <v>0</v>
      </c>
      <c r="AM456" s="6" t="s">
        <v>68</v>
      </c>
      <c r="AN456" s="5">
        <v>0</v>
      </c>
      <c r="AO456" s="5">
        <v>6</v>
      </c>
      <c r="AP456" s="5" t="b">
        <v>1</v>
      </c>
      <c r="AQ456" s="43" t="s">
        <v>365</v>
      </c>
      <c r="AR456" s="5">
        <v>2</v>
      </c>
      <c r="AS456" s="5">
        <v>48</v>
      </c>
      <c r="AT456" s="5" t="b">
        <v>0</v>
      </c>
      <c r="AU456" s="6" t="s">
        <v>68</v>
      </c>
      <c r="AV456" s="5">
        <v>0</v>
      </c>
      <c r="AW456" s="5">
        <v>6</v>
      </c>
      <c r="AX456" s="5" t="b">
        <v>0</v>
      </c>
      <c r="AY456" s="6" t="s">
        <v>68</v>
      </c>
      <c r="AZ456" s="5">
        <v>0</v>
      </c>
      <c r="BA456" s="5">
        <v>6</v>
      </c>
      <c r="BB456" s="5">
        <v>4</v>
      </c>
      <c r="BC456" s="5">
        <v>4</v>
      </c>
      <c r="BD456" s="5">
        <v>1</v>
      </c>
      <c r="BE456" s="5">
        <v>1</v>
      </c>
      <c r="BF456" s="6" t="s">
        <v>68</v>
      </c>
      <c r="BG456" s="6"/>
      <c r="BH456" s="5"/>
      <c r="BI456" s="5"/>
      <c r="BJ456" s="6"/>
      <c r="BK456" s="5" t="s">
        <v>1</v>
      </c>
      <c r="BL456" s="5">
        <v>0</v>
      </c>
      <c r="BM456" s="5" t="b">
        <v>0</v>
      </c>
      <c r="CL456" s="77" t="str">
        <f t="shared" si="14"/>
        <v>TitlepageAuthorNameau</v>
      </c>
    </row>
    <row r="457" spans="1:90">
      <c r="A457" s="76" t="str">
        <f t="shared" si="15"/>
        <v>Titlepage Book Subtitle (stit)</v>
      </c>
      <c r="B457" s="5"/>
      <c r="C457" s="5" t="s">
        <v>917</v>
      </c>
      <c r="D457" s="5" t="s">
        <v>1377</v>
      </c>
      <c r="E457" s="5" t="s">
        <v>320</v>
      </c>
      <c r="F457" s="5">
        <v>1</v>
      </c>
      <c r="G457" s="5" t="b">
        <v>0</v>
      </c>
      <c r="H457" s="5">
        <v>1</v>
      </c>
      <c r="I457" s="5" t="s">
        <v>2</v>
      </c>
      <c r="J457" s="5">
        <v>18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 t="b">
        <v>0</v>
      </c>
      <c r="Y457" s="5" t="b">
        <v>0</v>
      </c>
      <c r="Z457" s="5" t="b">
        <v>0</v>
      </c>
      <c r="AA457" s="5">
        <v>0</v>
      </c>
      <c r="AB457" s="5">
        <v>0</v>
      </c>
      <c r="AC457" s="5">
        <v>0</v>
      </c>
      <c r="AD457" s="5">
        <v>10</v>
      </c>
      <c r="AE457" s="5">
        <v>2</v>
      </c>
      <c r="AF457" s="5">
        <v>24</v>
      </c>
      <c r="AG457" s="5">
        <v>1</v>
      </c>
      <c r="AH457" s="5">
        <v>0</v>
      </c>
      <c r="AI457" s="5">
        <v>10</v>
      </c>
      <c r="AJ457" s="5" t="b">
        <v>0</v>
      </c>
      <c r="AK457" s="5" t="b">
        <v>0</v>
      </c>
      <c r="AL457" s="5" t="b">
        <v>0</v>
      </c>
      <c r="AM457" s="6" t="s">
        <v>68</v>
      </c>
      <c r="AN457" s="5">
        <v>0</v>
      </c>
      <c r="AO457" s="5">
        <v>6</v>
      </c>
      <c r="AP457" s="5" t="b">
        <v>1</v>
      </c>
      <c r="AQ457" s="43" t="s">
        <v>365</v>
      </c>
      <c r="AR457" s="5">
        <v>1</v>
      </c>
      <c r="AS457" s="5">
        <v>18</v>
      </c>
      <c r="AT457" s="5" t="b">
        <v>0</v>
      </c>
      <c r="AU457" s="6" t="s">
        <v>68</v>
      </c>
      <c r="AV457" s="5">
        <v>0</v>
      </c>
      <c r="AW457" s="5">
        <v>6</v>
      </c>
      <c r="AX457" s="5" t="b">
        <v>0</v>
      </c>
      <c r="AY457" s="6" t="s">
        <v>68</v>
      </c>
      <c r="AZ457" s="5">
        <v>0</v>
      </c>
      <c r="BA457" s="5">
        <v>6</v>
      </c>
      <c r="BB457" s="5">
        <v>4</v>
      </c>
      <c r="BC457" s="5">
        <v>4</v>
      </c>
      <c r="BD457" s="5">
        <v>1</v>
      </c>
      <c r="BE457" s="5">
        <v>1</v>
      </c>
      <c r="BF457" s="6" t="s">
        <v>68</v>
      </c>
      <c r="BG457" s="6"/>
      <c r="BH457" s="5"/>
      <c r="BI457" s="5"/>
      <c r="BJ457" s="6"/>
      <c r="BK457" s="5" t="s">
        <v>1</v>
      </c>
      <c r="BL457" s="5">
        <v>0</v>
      </c>
      <c r="BM457" s="5" t="b">
        <v>0</v>
      </c>
      <c r="CL457" s="77" t="str">
        <f t="shared" si="14"/>
        <v>TitlepageBookSubtitlestit</v>
      </c>
    </row>
    <row r="458" spans="1:90">
      <c r="A458" s="76" t="str">
        <f t="shared" si="15"/>
        <v>Titlepage Book Title (tit)</v>
      </c>
      <c r="B458" s="5"/>
      <c r="C458" s="5" t="s">
        <v>918</v>
      </c>
      <c r="D458" s="5" t="s">
        <v>1378</v>
      </c>
      <c r="E458" s="5" t="s">
        <v>321</v>
      </c>
      <c r="F458" s="5">
        <v>1</v>
      </c>
      <c r="G458" s="5" t="b">
        <v>0</v>
      </c>
      <c r="H458" s="5">
        <v>1</v>
      </c>
      <c r="I458" s="5" t="s">
        <v>4</v>
      </c>
      <c r="J458" s="5">
        <v>24</v>
      </c>
      <c r="K458" s="5" t="b">
        <v>0</v>
      </c>
      <c r="L458" s="5" t="b">
        <v>0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 t="b">
        <v>0</v>
      </c>
      <c r="Y458" s="5" t="b">
        <v>0</v>
      </c>
      <c r="Z458" s="5" t="b">
        <v>0</v>
      </c>
      <c r="AA458" s="5">
        <v>0</v>
      </c>
      <c r="AB458" s="5">
        <v>0</v>
      </c>
      <c r="AC458" s="5">
        <v>72</v>
      </c>
      <c r="AD458" s="5">
        <v>24</v>
      </c>
      <c r="AE458" s="5">
        <v>2</v>
      </c>
      <c r="AF458" s="5">
        <v>24</v>
      </c>
      <c r="AG458" s="5">
        <v>1</v>
      </c>
      <c r="AH458" s="5">
        <v>0</v>
      </c>
      <c r="AI458" s="5">
        <v>10</v>
      </c>
      <c r="AJ458" s="5" t="b">
        <v>0</v>
      </c>
      <c r="AK458" s="5" t="b">
        <v>0</v>
      </c>
      <c r="AL458" s="5" t="b">
        <v>0</v>
      </c>
      <c r="AM458" s="6" t="s">
        <v>68</v>
      </c>
      <c r="AN458" s="5">
        <v>0</v>
      </c>
      <c r="AO458" s="5">
        <v>6</v>
      </c>
      <c r="AP458" s="5" t="b">
        <v>1</v>
      </c>
      <c r="AQ458" s="43" t="s">
        <v>365</v>
      </c>
      <c r="AR458" s="5">
        <v>7</v>
      </c>
      <c r="AS458" s="5">
        <v>18</v>
      </c>
      <c r="AT458" s="5" t="b">
        <v>0</v>
      </c>
      <c r="AU458" s="6" t="s">
        <v>68</v>
      </c>
      <c r="AV458" s="5">
        <v>0</v>
      </c>
      <c r="AW458" s="5">
        <v>6</v>
      </c>
      <c r="AX458" s="5" t="b">
        <v>0</v>
      </c>
      <c r="AY458" s="6" t="s">
        <v>68</v>
      </c>
      <c r="AZ458" s="5">
        <v>0</v>
      </c>
      <c r="BA458" s="5">
        <v>6</v>
      </c>
      <c r="BB458" s="5">
        <v>4</v>
      </c>
      <c r="BC458" s="5">
        <v>4</v>
      </c>
      <c r="BD458" s="5">
        <v>1</v>
      </c>
      <c r="BE458" s="5">
        <v>1</v>
      </c>
      <c r="BF458" s="6" t="s">
        <v>68</v>
      </c>
      <c r="BG458" s="6"/>
      <c r="BH458" s="5"/>
      <c r="BI458" s="5"/>
      <c r="BJ458" s="6"/>
      <c r="BK458" s="5" t="s">
        <v>1</v>
      </c>
      <c r="BL458" s="5">
        <v>0</v>
      </c>
      <c r="BM458" s="5" t="b">
        <v>0</v>
      </c>
      <c r="BN458" s="8" t="s">
        <v>1171</v>
      </c>
      <c r="BT458" s="8" t="b">
        <v>1</v>
      </c>
      <c r="CL458" s="77" t="str">
        <f t="shared" si="14"/>
        <v>TitlepageBookTitletit</v>
      </c>
    </row>
    <row r="459" spans="1:90">
      <c r="A459" s="76" t="str">
        <f t="shared" si="15"/>
        <v>Titlepage Cities (cit)</v>
      </c>
      <c r="B459" s="5"/>
      <c r="C459" s="5" t="s">
        <v>919</v>
      </c>
      <c r="D459" s="5" t="s">
        <v>1379</v>
      </c>
      <c r="E459" s="5" t="s">
        <v>322</v>
      </c>
      <c r="F459" s="5">
        <v>1</v>
      </c>
      <c r="G459" s="5" t="b">
        <v>0</v>
      </c>
      <c r="H459" s="5">
        <v>1</v>
      </c>
      <c r="I459" s="5" t="s">
        <v>74</v>
      </c>
      <c r="J459" s="5">
        <v>12</v>
      </c>
      <c r="K459" s="5" t="b">
        <v>0</v>
      </c>
      <c r="L459" s="5" t="b">
        <v>0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0</v>
      </c>
      <c r="T459" s="5" t="b">
        <v>0</v>
      </c>
      <c r="U459" s="5" t="b">
        <v>0</v>
      </c>
      <c r="V459" s="5" t="b">
        <v>0</v>
      </c>
      <c r="W459" s="5"/>
      <c r="X459" s="5" t="b">
        <v>0</v>
      </c>
      <c r="Y459" s="5" t="b">
        <v>0</v>
      </c>
      <c r="Z459" s="5" t="b">
        <v>0</v>
      </c>
      <c r="AA459" s="5">
        <v>0</v>
      </c>
      <c r="AB459" s="5">
        <v>0</v>
      </c>
      <c r="AC459" s="5">
        <v>0</v>
      </c>
      <c r="AD459" s="5">
        <v>0</v>
      </c>
      <c r="AE459" s="5">
        <v>2</v>
      </c>
      <c r="AF459" s="5">
        <v>24</v>
      </c>
      <c r="AG459" s="5">
        <v>1</v>
      </c>
      <c r="AH459" s="5">
        <v>0</v>
      </c>
      <c r="AI459" s="5">
        <v>10</v>
      </c>
      <c r="AJ459" s="5" t="b">
        <v>0</v>
      </c>
      <c r="AK459" s="5" t="b">
        <v>0</v>
      </c>
      <c r="AL459" s="5" t="b">
        <v>0</v>
      </c>
      <c r="AM459" s="6" t="s">
        <v>68</v>
      </c>
      <c r="AN459" s="5">
        <v>0</v>
      </c>
      <c r="AO459" s="5">
        <v>6</v>
      </c>
      <c r="AP459" s="5" t="b">
        <v>1</v>
      </c>
      <c r="AQ459" s="43" t="s">
        <v>365</v>
      </c>
      <c r="AR459" s="5">
        <v>16</v>
      </c>
      <c r="AS459" s="5">
        <v>36</v>
      </c>
      <c r="AT459" s="5" t="b">
        <v>0</v>
      </c>
      <c r="AU459" s="6" t="s">
        <v>68</v>
      </c>
      <c r="AV459" s="5">
        <v>0</v>
      </c>
      <c r="AW459" s="5">
        <v>6</v>
      </c>
      <c r="AX459" s="5" t="b">
        <v>0</v>
      </c>
      <c r="AY459" s="6" t="s">
        <v>68</v>
      </c>
      <c r="AZ459" s="5">
        <v>0</v>
      </c>
      <c r="BA459" s="5">
        <v>6</v>
      </c>
      <c r="BB459" s="5">
        <v>4</v>
      </c>
      <c r="BC459" s="5">
        <v>4</v>
      </c>
      <c r="BD459" s="5">
        <v>1</v>
      </c>
      <c r="BE459" s="5">
        <v>1</v>
      </c>
      <c r="BF459" s="6" t="s">
        <v>68</v>
      </c>
      <c r="BG459" s="6"/>
      <c r="BH459" s="5"/>
      <c r="BI459" s="5"/>
      <c r="BJ459" s="6"/>
      <c r="BK459" s="5" t="s">
        <v>1</v>
      </c>
      <c r="BL459" s="5">
        <v>0</v>
      </c>
      <c r="BM459" s="5" t="b">
        <v>0</v>
      </c>
      <c r="CL459" s="77" t="str">
        <f t="shared" si="14"/>
        <v>TitlepageCitiescit</v>
      </c>
    </row>
    <row r="460" spans="1:90">
      <c r="A460" s="76" t="str">
        <f t="shared" si="15"/>
        <v>Titlepage Contributor Name (con)</v>
      </c>
      <c r="B460" s="5"/>
      <c r="C460" s="5" t="s">
        <v>920</v>
      </c>
      <c r="D460" s="5" t="s">
        <v>1380</v>
      </c>
      <c r="E460" s="5" t="s">
        <v>323</v>
      </c>
      <c r="F460" s="5">
        <v>1</v>
      </c>
      <c r="G460" s="5" t="b">
        <v>0</v>
      </c>
      <c r="H460" s="5">
        <v>1</v>
      </c>
      <c r="I460" s="5" t="s">
        <v>74</v>
      </c>
      <c r="J460" s="5">
        <v>12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 t="b">
        <v>0</v>
      </c>
      <c r="Y460" s="5" t="b">
        <v>0</v>
      </c>
      <c r="Z460" s="5" t="b">
        <v>0</v>
      </c>
      <c r="AA460" s="5">
        <v>0</v>
      </c>
      <c r="AB460" s="5">
        <v>0</v>
      </c>
      <c r="AC460" s="5">
        <v>0</v>
      </c>
      <c r="AD460" s="5">
        <v>0</v>
      </c>
      <c r="AE460" s="5">
        <v>2</v>
      </c>
      <c r="AF460" s="5">
        <v>24</v>
      </c>
      <c r="AG460" s="5">
        <v>1</v>
      </c>
      <c r="AH460" s="5">
        <v>0</v>
      </c>
      <c r="AI460" s="5">
        <v>10</v>
      </c>
      <c r="AJ460" s="5" t="b">
        <v>0</v>
      </c>
      <c r="AK460" s="5" t="b">
        <v>0</v>
      </c>
      <c r="AL460" s="5" t="b">
        <v>0</v>
      </c>
      <c r="AM460" s="6" t="s">
        <v>68</v>
      </c>
      <c r="AN460" s="5">
        <v>0</v>
      </c>
      <c r="AO460" s="5">
        <v>6</v>
      </c>
      <c r="AP460" s="5" t="b">
        <v>1</v>
      </c>
      <c r="AQ460" s="43" t="s">
        <v>365</v>
      </c>
      <c r="AR460" s="5">
        <v>18</v>
      </c>
      <c r="AS460" s="5">
        <v>12</v>
      </c>
      <c r="AT460" s="5" t="b">
        <v>0</v>
      </c>
      <c r="AU460" s="6" t="s">
        <v>68</v>
      </c>
      <c r="AV460" s="5">
        <v>0</v>
      </c>
      <c r="AW460" s="5">
        <v>6</v>
      </c>
      <c r="AX460" s="5" t="b">
        <v>0</v>
      </c>
      <c r="AY460" s="6" t="s">
        <v>68</v>
      </c>
      <c r="AZ460" s="5">
        <v>0</v>
      </c>
      <c r="BA460" s="5">
        <v>6</v>
      </c>
      <c r="BB460" s="5">
        <v>4</v>
      </c>
      <c r="BC460" s="5">
        <v>4</v>
      </c>
      <c r="BD460" s="5">
        <v>1</v>
      </c>
      <c r="BE460" s="5">
        <v>1</v>
      </c>
      <c r="BF460" s="6" t="s">
        <v>68</v>
      </c>
      <c r="BG460" s="6"/>
      <c r="BH460" s="5"/>
      <c r="BI460" s="5"/>
      <c r="BJ460" s="6"/>
      <c r="BK460" s="5" t="s">
        <v>1</v>
      </c>
      <c r="BL460" s="5">
        <v>0</v>
      </c>
      <c r="BM460" s="5" t="b">
        <v>0</v>
      </c>
      <c r="CL460" s="77" t="str">
        <f t="shared" si="14"/>
        <v>TitlepageContributorNamecon</v>
      </c>
    </row>
    <row r="461" spans="1:90">
      <c r="A461" s="76" t="str">
        <f t="shared" si="15"/>
        <v>Titlepage Imprint Line (imp)</v>
      </c>
      <c r="B461" s="5"/>
      <c r="C461" s="5" t="s">
        <v>921</v>
      </c>
      <c r="D461" s="5" t="s">
        <v>1381</v>
      </c>
      <c r="E461" s="5" t="s">
        <v>322</v>
      </c>
      <c r="F461" s="5">
        <v>1</v>
      </c>
      <c r="G461" s="5" t="b">
        <v>0</v>
      </c>
      <c r="H461" s="5">
        <v>1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 t="b">
        <v>0</v>
      </c>
      <c r="Y461" s="5" t="b">
        <v>0</v>
      </c>
      <c r="Z461" s="5" t="b">
        <v>0</v>
      </c>
      <c r="AA461" s="5">
        <v>0</v>
      </c>
      <c r="AB461" s="5">
        <v>0</v>
      </c>
      <c r="AC461" s="5">
        <v>0</v>
      </c>
      <c r="AD461" s="5">
        <v>0</v>
      </c>
      <c r="AE461" s="5">
        <v>2</v>
      </c>
      <c r="AF461" s="5">
        <v>24</v>
      </c>
      <c r="AG461" s="5">
        <v>1</v>
      </c>
      <c r="AH461" s="5">
        <v>0</v>
      </c>
      <c r="AI461" s="5">
        <v>10</v>
      </c>
      <c r="AJ461" s="5" t="b">
        <v>0</v>
      </c>
      <c r="AK461" s="5" t="b">
        <v>0</v>
      </c>
      <c r="AL461" s="5" t="b">
        <v>0</v>
      </c>
      <c r="AM461" s="6" t="s">
        <v>68</v>
      </c>
      <c r="AN461" s="5">
        <v>0</v>
      </c>
      <c r="AO461" s="5">
        <v>6</v>
      </c>
      <c r="AP461" s="5" t="b">
        <v>1</v>
      </c>
      <c r="AQ461" s="43" t="s">
        <v>365</v>
      </c>
      <c r="AR461" s="5">
        <v>8</v>
      </c>
      <c r="AS461" s="5">
        <v>12</v>
      </c>
      <c r="AT461" s="5" t="b">
        <v>0</v>
      </c>
      <c r="AU461" s="6" t="s">
        <v>68</v>
      </c>
      <c r="AV461" s="5">
        <v>0</v>
      </c>
      <c r="AW461" s="5">
        <v>6</v>
      </c>
      <c r="AX461" s="5" t="b">
        <v>0</v>
      </c>
      <c r="AY461" s="6" t="s">
        <v>68</v>
      </c>
      <c r="AZ461" s="5">
        <v>0</v>
      </c>
      <c r="BA461" s="5">
        <v>6</v>
      </c>
      <c r="BB461" s="5">
        <v>4</v>
      </c>
      <c r="BC461" s="5">
        <v>4</v>
      </c>
      <c r="BD461" s="5">
        <v>1</v>
      </c>
      <c r="BE461" s="5">
        <v>1</v>
      </c>
      <c r="BF461" s="6" t="s">
        <v>68</v>
      </c>
      <c r="BG461" s="6"/>
      <c r="BH461" s="5"/>
      <c r="BI461" s="5"/>
      <c r="BJ461" s="6"/>
      <c r="BK461" s="5" t="s">
        <v>1</v>
      </c>
      <c r="BL461" s="5">
        <v>0</v>
      </c>
      <c r="BM461" s="5" t="b">
        <v>0</v>
      </c>
      <c r="CL461" s="77" t="str">
        <f t="shared" si="14"/>
        <v>TitlepageImprintLineimp</v>
      </c>
    </row>
    <row r="462" spans="1:90">
      <c r="A462" s="76" t="str">
        <f t="shared" si="15"/>
        <v>Titlepage Logo (logo)</v>
      </c>
      <c r="B462" s="5"/>
      <c r="C462" s="5" t="s">
        <v>922</v>
      </c>
      <c r="D462" s="5" t="s">
        <v>1382</v>
      </c>
      <c r="E462" s="5" t="s">
        <v>1461</v>
      </c>
      <c r="F462" s="5">
        <v>1</v>
      </c>
      <c r="G462" s="5" t="b">
        <v>0</v>
      </c>
      <c r="H462" s="5">
        <v>1</v>
      </c>
      <c r="I462" s="5" t="s">
        <v>2</v>
      </c>
      <c r="J462" s="5">
        <v>11</v>
      </c>
      <c r="K462" s="5" t="b">
        <v>0</v>
      </c>
      <c r="L462" s="5" t="b">
        <v>0</v>
      </c>
      <c r="M462" s="6" t="s">
        <v>68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 t="b">
        <v>0</v>
      </c>
      <c r="Y462" s="5" t="b">
        <v>0</v>
      </c>
      <c r="Z462" s="5" t="b">
        <v>0</v>
      </c>
      <c r="AA462" s="5">
        <v>72</v>
      </c>
      <c r="AB462" s="5">
        <v>72</v>
      </c>
      <c r="AC462" s="5">
        <v>0</v>
      </c>
      <c r="AD462" s="5">
        <v>0</v>
      </c>
      <c r="AE462" s="5">
        <v>2</v>
      </c>
      <c r="AF462" s="5">
        <v>24</v>
      </c>
      <c r="AG462" s="5">
        <v>1</v>
      </c>
      <c r="AH462" s="5">
        <v>0</v>
      </c>
      <c r="AI462" s="5">
        <v>10</v>
      </c>
      <c r="AJ462" s="5" t="b">
        <v>0</v>
      </c>
      <c r="AK462" s="5" t="b">
        <v>0</v>
      </c>
      <c r="AL462" s="5" t="b">
        <v>1</v>
      </c>
      <c r="AM462" s="18" t="s">
        <v>107</v>
      </c>
      <c r="AN462" s="5">
        <v>1</v>
      </c>
      <c r="AO462" s="5">
        <v>18</v>
      </c>
      <c r="AP462" s="5" t="b">
        <v>1</v>
      </c>
      <c r="AQ462" s="18" t="s">
        <v>107</v>
      </c>
      <c r="AR462" s="5">
        <v>1</v>
      </c>
      <c r="AS462" s="5">
        <v>18</v>
      </c>
      <c r="AT462" s="5" t="b">
        <v>1</v>
      </c>
      <c r="AU462" s="18" t="s">
        <v>107</v>
      </c>
      <c r="AV462" s="5">
        <v>1</v>
      </c>
      <c r="AW462" s="5">
        <v>18</v>
      </c>
      <c r="AX462" s="5" t="b">
        <v>1</v>
      </c>
      <c r="AY462" s="18" t="s">
        <v>107</v>
      </c>
      <c r="AZ462" s="5">
        <v>1</v>
      </c>
      <c r="BA462" s="5">
        <v>18</v>
      </c>
      <c r="BB462" s="5">
        <v>4</v>
      </c>
      <c r="BC462" s="5">
        <v>4</v>
      </c>
      <c r="BD462" s="5">
        <v>1</v>
      </c>
      <c r="BE462" s="5">
        <v>1</v>
      </c>
      <c r="BF462" s="6" t="s">
        <v>68</v>
      </c>
      <c r="BG462" s="6"/>
      <c r="BH462" s="5"/>
      <c r="BI462" s="5"/>
      <c r="BJ462" s="6"/>
      <c r="BK462" s="5" t="s">
        <v>1</v>
      </c>
      <c r="BL462" s="5">
        <v>0</v>
      </c>
      <c r="BM462" s="5" t="b">
        <v>0</v>
      </c>
      <c r="CL462" s="77" t="str">
        <f t="shared" si="14"/>
        <v>TitlepageLogologo</v>
      </c>
    </row>
    <row r="463" spans="1:90">
      <c r="A463" s="76" t="str">
        <f t="shared" si="15"/>
        <v>Titlepage Publisher Name (pub)</v>
      </c>
      <c r="B463" s="5"/>
      <c r="C463" s="5" t="s">
        <v>923</v>
      </c>
      <c r="D463" s="5" t="s">
        <v>1383</v>
      </c>
      <c r="E463" s="5" t="s">
        <v>322</v>
      </c>
      <c r="F463" s="5">
        <v>1</v>
      </c>
      <c r="G463" s="5" t="b">
        <v>0</v>
      </c>
      <c r="H463" s="5">
        <v>1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 t="b">
        <v>1</v>
      </c>
      <c r="Y463" s="5" t="b">
        <v>0</v>
      </c>
      <c r="Z463" s="5" t="b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2</v>
      </c>
      <c r="AF463" s="5">
        <v>24</v>
      </c>
      <c r="AG463" s="5">
        <v>1</v>
      </c>
      <c r="AH463" s="5">
        <v>0</v>
      </c>
      <c r="AI463" s="5">
        <v>10</v>
      </c>
      <c r="AJ463" s="5" t="b">
        <v>0</v>
      </c>
      <c r="AK463" s="5" t="b">
        <v>0</v>
      </c>
      <c r="AL463" s="5" t="b">
        <v>0</v>
      </c>
      <c r="AM463" s="6" t="s">
        <v>68</v>
      </c>
      <c r="AN463" s="5">
        <v>0</v>
      </c>
      <c r="AO463" s="5">
        <v>6</v>
      </c>
      <c r="AP463" s="5" t="b">
        <v>1</v>
      </c>
      <c r="AQ463" s="43" t="s">
        <v>365</v>
      </c>
      <c r="AR463" s="5">
        <v>15</v>
      </c>
      <c r="AS463" s="5">
        <v>36</v>
      </c>
      <c r="AT463" s="5" t="b">
        <v>0</v>
      </c>
      <c r="AU463" s="6" t="s">
        <v>68</v>
      </c>
      <c r="AV463" s="5">
        <v>0</v>
      </c>
      <c r="AW463" s="5">
        <v>6</v>
      </c>
      <c r="AX463" s="5" t="b">
        <v>0</v>
      </c>
      <c r="AY463" s="6" t="s">
        <v>68</v>
      </c>
      <c r="AZ463" s="5">
        <v>0</v>
      </c>
      <c r="BA463" s="5">
        <v>6</v>
      </c>
      <c r="BB463" s="5">
        <v>4</v>
      </c>
      <c r="BC463" s="5">
        <v>4</v>
      </c>
      <c r="BD463" s="5">
        <v>1</v>
      </c>
      <c r="BE463" s="5">
        <v>1</v>
      </c>
      <c r="BF463" s="6" t="s">
        <v>68</v>
      </c>
      <c r="BG463" s="6"/>
      <c r="BH463" s="5"/>
      <c r="BI463" s="5"/>
      <c r="BJ463" s="6"/>
      <c r="BK463" s="5" t="s">
        <v>1</v>
      </c>
      <c r="BL463" s="5">
        <v>0</v>
      </c>
      <c r="BM463" s="5" t="b">
        <v>0</v>
      </c>
      <c r="CL463" s="77" t="str">
        <f t="shared" si="14"/>
        <v>TitlepagePublisherNamepub</v>
      </c>
    </row>
    <row r="464" spans="1:90">
      <c r="A464" s="76" t="str">
        <f t="shared" si="15"/>
        <v>Titlepage Reading Line (rl)</v>
      </c>
      <c r="B464" s="5"/>
      <c r="C464" s="5" t="s">
        <v>924</v>
      </c>
      <c r="D464" s="5" t="s">
        <v>1384</v>
      </c>
      <c r="E464" s="5" t="s">
        <v>324</v>
      </c>
      <c r="F464" s="5">
        <v>1</v>
      </c>
      <c r="G464" s="5" t="b">
        <v>0</v>
      </c>
      <c r="H464" s="5">
        <v>1</v>
      </c>
      <c r="I464" s="5" t="s">
        <v>74</v>
      </c>
      <c r="J464" s="5">
        <v>12</v>
      </c>
      <c r="K464" s="5" t="b">
        <v>0</v>
      </c>
      <c r="L464" s="5" t="b">
        <v>0</v>
      </c>
      <c r="M464" s="6" t="s">
        <v>68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 t="b">
        <v>0</v>
      </c>
      <c r="Y464" s="5" t="b">
        <v>0</v>
      </c>
      <c r="Z464" s="5" t="b">
        <v>0</v>
      </c>
      <c r="AA464" s="5">
        <v>0</v>
      </c>
      <c r="AB464" s="5">
        <v>0</v>
      </c>
      <c r="AC464" s="5">
        <v>0</v>
      </c>
      <c r="AD464" s="5">
        <v>0</v>
      </c>
      <c r="AE464" s="5">
        <v>2</v>
      </c>
      <c r="AF464" s="5">
        <v>24</v>
      </c>
      <c r="AG464" s="5">
        <v>1</v>
      </c>
      <c r="AH464" s="5">
        <v>0</v>
      </c>
      <c r="AI464" s="5">
        <v>10</v>
      </c>
      <c r="AJ464" s="5" t="b">
        <v>0</v>
      </c>
      <c r="AK464" s="5" t="b">
        <v>0</v>
      </c>
      <c r="AL464" s="5" t="b">
        <v>0</v>
      </c>
      <c r="AM464" s="6" t="s">
        <v>68</v>
      </c>
      <c r="AN464" s="5">
        <v>0</v>
      </c>
      <c r="AO464" s="5">
        <v>6</v>
      </c>
      <c r="AP464" s="5" t="b">
        <v>1</v>
      </c>
      <c r="AQ464" s="43" t="s">
        <v>365</v>
      </c>
      <c r="AR464" s="5">
        <v>3</v>
      </c>
      <c r="AS464" s="5">
        <v>18</v>
      </c>
      <c r="AT464" s="5" t="b">
        <v>0</v>
      </c>
      <c r="AU464" s="6" t="s">
        <v>68</v>
      </c>
      <c r="AV464" s="5">
        <v>0</v>
      </c>
      <c r="AW464" s="5">
        <v>6</v>
      </c>
      <c r="AX464" s="5" t="b">
        <v>0</v>
      </c>
      <c r="AY464" s="6" t="s">
        <v>68</v>
      </c>
      <c r="AZ464" s="5">
        <v>0</v>
      </c>
      <c r="BA464" s="5">
        <v>6</v>
      </c>
      <c r="BB464" s="5">
        <v>4</v>
      </c>
      <c r="BC464" s="5">
        <v>4</v>
      </c>
      <c r="BD464" s="5">
        <v>1</v>
      </c>
      <c r="BE464" s="5">
        <v>1</v>
      </c>
      <c r="BF464" s="6" t="s">
        <v>68</v>
      </c>
      <c r="BG464" s="6"/>
      <c r="BH464" s="5"/>
      <c r="BI464" s="5"/>
      <c r="BJ464" s="6"/>
      <c r="BK464" s="5" t="s">
        <v>1</v>
      </c>
      <c r="BL464" s="5">
        <v>0</v>
      </c>
      <c r="BM464" s="5" t="b">
        <v>0</v>
      </c>
      <c r="CL464" s="77" t="str">
        <f t="shared" si="14"/>
        <v>TitlepageReadingLinerl</v>
      </c>
    </row>
    <row r="465" spans="1:90">
      <c r="A465" s="76" t="str">
        <f t="shared" si="15"/>
        <v>Titlepage Series Title (ser)</v>
      </c>
      <c r="B465" s="5"/>
      <c r="C465" s="5" t="s">
        <v>925</v>
      </c>
      <c r="D465" s="5" t="s">
        <v>1385</v>
      </c>
      <c r="E465" s="5" t="s">
        <v>320</v>
      </c>
      <c r="F465" s="5">
        <v>1</v>
      </c>
      <c r="G465" s="5" t="b">
        <v>0</v>
      </c>
      <c r="H465" s="5">
        <v>1</v>
      </c>
      <c r="I465" s="5" t="s">
        <v>74</v>
      </c>
      <c r="J465" s="5">
        <v>12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 t="b">
        <v>0</v>
      </c>
      <c r="Y465" s="5" t="b">
        <v>0</v>
      </c>
      <c r="Z465" s="5" t="b">
        <v>0</v>
      </c>
      <c r="AA465" s="5">
        <v>0</v>
      </c>
      <c r="AB465" s="5">
        <v>0</v>
      </c>
      <c r="AC465" s="5">
        <v>0</v>
      </c>
      <c r="AD465" s="5">
        <v>0</v>
      </c>
      <c r="AE465" s="5">
        <v>2</v>
      </c>
      <c r="AF465" s="5">
        <v>24</v>
      </c>
      <c r="AG465" s="5">
        <v>1</v>
      </c>
      <c r="AH465" s="5">
        <v>0</v>
      </c>
      <c r="AI465" s="5">
        <v>10</v>
      </c>
      <c r="AJ465" s="5" t="b">
        <v>0</v>
      </c>
      <c r="AK465" s="5" t="b">
        <v>0</v>
      </c>
      <c r="AL465" s="5" t="b">
        <v>0</v>
      </c>
      <c r="AM465" s="6" t="s">
        <v>68</v>
      </c>
      <c r="AN465" s="5">
        <v>0</v>
      </c>
      <c r="AO465" s="5">
        <v>6</v>
      </c>
      <c r="AP465" s="5" t="b">
        <v>1</v>
      </c>
      <c r="AQ465" s="43" t="s">
        <v>365</v>
      </c>
      <c r="AR465" s="5">
        <v>7</v>
      </c>
      <c r="AS465" s="5">
        <v>6</v>
      </c>
      <c r="AT465" s="5" t="b">
        <v>0</v>
      </c>
      <c r="AU465" s="6" t="s">
        <v>68</v>
      </c>
      <c r="AV465" s="5">
        <v>0</v>
      </c>
      <c r="AW465" s="5">
        <v>6</v>
      </c>
      <c r="AX465" s="5" t="b">
        <v>0</v>
      </c>
      <c r="AY465" s="6" t="s">
        <v>68</v>
      </c>
      <c r="AZ465" s="5">
        <v>0</v>
      </c>
      <c r="BA465" s="5">
        <v>6</v>
      </c>
      <c r="BB465" s="5">
        <v>4</v>
      </c>
      <c r="BC465" s="5">
        <v>4</v>
      </c>
      <c r="BD465" s="5">
        <v>1</v>
      </c>
      <c r="BE465" s="5">
        <v>1</v>
      </c>
      <c r="BF465" s="6" t="s">
        <v>68</v>
      </c>
      <c r="BG465" s="6"/>
      <c r="BH465" s="5"/>
      <c r="BI465" s="5"/>
      <c r="BJ465" s="6"/>
      <c r="BK465" s="5" t="s">
        <v>1</v>
      </c>
      <c r="BL465" s="5">
        <v>0</v>
      </c>
      <c r="BM465" s="5" t="b">
        <v>0</v>
      </c>
      <c r="CL465" s="77" t="str">
        <f t="shared" si="14"/>
        <v>TitlepageSeriesTitleser</v>
      </c>
    </row>
    <row r="466" spans="1:90">
      <c r="A466" s="76" t="str">
        <f t="shared" si="15"/>
        <v>Titlepage Translator Name (tran)</v>
      </c>
      <c r="B466" s="5"/>
      <c r="C466" s="5" t="s">
        <v>926</v>
      </c>
      <c r="D466" s="5" t="s">
        <v>1386</v>
      </c>
      <c r="E466" s="5" t="s">
        <v>323</v>
      </c>
      <c r="F466" s="5">
        <v>1</v>
      </c>
      <c r="G466" s="5" t="b">
        <v>0</v>
      </c>
      <c r="H466" s="5">
        <v>1</v>
      </c>
      <c r="I466" s="5" t="s">
        <v>74</v>
      </c>
      <c r="J466" s="5">
        <v>12</v>
      </c>
      <c r="K466" s="5" t="b">
        <v>0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0</v>
      </c>
      <c r="T466" s="5" t="b">
        <v>0</v>
      </c>
      <c r="U466" s="5" t="b">
        <v>0</v>
      </c>
      <c r="V466" s="5" t="b">
        <v>0</v>
      </c>
      <c r="W466" s="5"/>
      <c r="X466" s="5" t="b">
        <v>0</v>
      </c>
      <c r="Y466" s="5" t="b">
        <v>0</v>
      </c>
      <c r="Z466" s="5" t="b">
        <v>0</v>
      </c>
      <c r="AA466" s="5">
        <v>0</v>
      </c>
      <c r="AB466" s="5">
        <v>0</v>
      </c>
      <c r="AC466" s="5">
        <v>0</v>
      </c>
      <c r="AD466" s="5">
        <v>0</v>
      </c>
      <c r="AE466" s="5">
        <v>2</v>
      </c>
      <c r="AF466" s="5">
        <v>24</v>
      </c>
      <c r="AG466" s="5">
        <v>1</v>
      </c>
      <c r="AH466" s="5">
        <v>0</v>
      </c>
      <c r="AI466" s="5">
        <v>10</v>
      </c>
      <c r="AJ466" s="5" t="b">
        <v>0</v>
      </c>
      <c r="AK466" s="5" t="b">
        <v>0</v>
      </c>
      <c r="AL466" s="5" t="b">
        <v>0</v>
      </c>
      <c r="AM466" s="6" t="s">
        <v>68</v>
      </c>
      <c r="AN466" s="5">
        <v>0</v>
      </c>
      <c r="AO466" s="5">
        <v>6</v>
      </c>
      <c r="AP466" s="5" t="b">
        <v>1</v>
      </c>
      <c r="AQ466" s="43" t="s">
        <v>365</v>
      </c>
      <c r="AR466" s="5">
        <v>19</v>
      </c>
      <c r="AS466" s="5">
        <v>6</v>
      </c>
      <c r="AT466" s="5" t="b">
        <v>0</v>
      </c>
      <c r="AU466" s="6" t="s">
        <v>68</v>
      </c>
      <c r="AV466" s="5">
        <v>0</v>
      </c>
      <c r="AW466" s="5">
        <v>6</v>
      </c>
      <c r="AX466" s="5" t="b">
        <v>0</v>
      </c>
      <c r="AY466" s="6" t="s">
        <v>68</v>
      </c>
      <c r="AZ466" s="5">
        <v>0</v>
      </c>
      <c r="BA466" s="5">
        <v>6</v>
      </c>
      <c r="BB466" s="5">
        <v>4</v>
      </c>
      <c r="BC466" s="5">
        <v>4</v>
      </c>
      <c r="BD466" s="5">
        <v>1</v>
      </c>
      <c r="BE466" s="5">
        <v>1</v>
      </c>
      <c r="BF466" s="6" t="s">
        <v>68</v>
      </c>
      <c r="BG466" s="6"/>
      <c r="BH466" s="5"/>
      <c r="BI466" s="5"/>
      <c r="BJ466" s="6"/>
      <c r="BK466" s="5" t="s">
        <v>1</v>
      </c>
      <c r="BL466" s="5">
        <v>0</v>
      </c>
      <c r="BM466" s="5" t="b">
        <v>0</v>
      </c>
      <c r="CL466" s="77" t="str">
        <f t="shared" si="14"/>
        <v>TitlepageTranslatorNametran</v>
      </c>
    </row>
    <row r="467" spans="1:90">
      <c r="A467" s="76" t="str">
        <f t="shared" si="15"/>
        <v>TOC Author (cau)</v>
      </c>
      <c r="B467" s="5"/>
      <c r="C467" s="5" t="s">
        <v>927</v>
      </c>
      <c r="D467" s="5" t="s">
        <v>1387</v>
      </c>
      <c r="E467" s="5" t="s">
        <v>328</v>
      </c>
      <c r="F467" s="5">
        <v>1</v>
      </c>
      <c r="G467" s="5" t="b">
        <v>0</v>
      </c>
      <c r="H467" s="5">
        <v>1</v>
      </c>
      <c r="I467" s="5" t="s">
        <v>74</v>
      </c>
      <c r="J467" s="5">
        <v>10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 t="b">
        <v>0</v>
      </c>
      <c r="Y467" s="5" t="b">
        <v>0</v>
      </c>
      <c r="Z467" s="5" t="b">
        <v>0</v>
      </c>
      <c r="AA467" s="5">
        <v>72</v>
      </c>
      <c r="AB467" s="5">
        <v>0</v>
      </c>
      <c r="AC467" s="5">
        <v>0</v>
      </c>
      <c r="AD467" s="5">
        <v>0</v>
      </c>
      <c r="AE467" s="5">
        <v>1</v>
      </c>
      <c r="AF467" s="5">
        <v>18</v>
      </c>
      <c r="AG467" s="5">
        <v>0</v>
      </c>
      <c r="AH467" s="5">
        <v>0</v>
      </c>
      <c r="AI467" s="5">
        <v>10</v>
      </c>
      <c r="AJ467" s="5" t="b">
        <v>0</v>
      </c>
      <c r="AK467" s="5" t="b">
        <v>0</v>
      </c>
      <c r="AL467" s="5" t="b">
        <v>0</v>
      </c>
      <c r="AM467" s="6" t="s">
        <v>68</v>
      </c>
      <c r="AN467" s="5">
        <v>0</v>
      </c>
      <c r="AO467" s="5">
        <v>6</v>
      </c>
      <c r="AP467" s="5" t="b">
        <v>1</v>
      </c>
      <c r="AQ467" s="59" t="s">
        <v>362</v>
      </c>
      <c r="AR467" s="5">
        <v>18</v>
      </c>
      <c r="AS467" s="5">
        <v>12</v>
      </c>
      <c r="AT467" s="5" t="b">
        <v>0</v>
      </c>
      <c r="AU467" s="6" t="s">
        <v>68</v>
      </c>
      <c r="AV467" s="5">
        <v>0</v>
      </c>
      <c r="AW467" s="5">
        <v>6</v>
      </c>
      <c r="AX467" s="5" t="b">
        <v>0</v>
      </c>
      <c r="AY467" s="6" t="s">
        <v>68</v>
      </c>
      <c r="AZ467" s="5">
        <v>0</v>
      </c>
      <c r="BA467" s="5">
        <v>6</v>
      </c>
      <c r="BB467" s="5">
        <v>4</v>
      </c>
      <c r="BC467" s="5">
        <v>4</v>
      </c>
      <c r="BD467" s="5">
        <v>1</v>
      </c>
      <c r="BE467" s="5">
        <v>1</v>
      </c>
      <c r="BF467" s="6" t="s">
        <v>68</v>
      </c>
      <c r="BG467" s="6"/>
      <c r="BH467" s="5"/>
      <c r="BI467" s="5"/>
      <c r="BJ467" s="6"/>
      <c r="BK467" s="5" t="s">
        <v>1</v>
      </c>
      <c r="BL467" s="5">
        <v>0</v>
      </c>
      <c r="BM467" s="5" t="b">
        <v>0</v>
      </c>
      <c r="CL467" s="77" t="str">
        <f t="shared" si="14"/>
        <v>TOCAuthorcau</v>
      </c>
    </row>
    <row r="468" spans="1:90">
      <c r="A468" s="76" t="str">
        <f t="shared" si="15"/>
        <v>TOC Backmatter Head (cbmh)</v>
      </c>
      <c r="B468" s="5"/>
      <c r="C468" s="5" t="s">
        <v>928</v>
      </c>
      <c r="D468" s="5" t="s">
        <v>1388</v>
      </c>
      <c r="E468" s="5" t="s">
        <v>326</v>
      </c>
      <c r="F468" s="5">
        <v>1</v>
      </c>
      <c r="G468" s="5" t="b">
        <v>0</v>
      </c>
      <c r="H468" s="5">
        <v>1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 t="b">
        <v>0</v>
      </c>
      <c r="Y468" s="5" t="b">
        <v>0</v>
      </c>
      <c r="Z468" s="5" t="b">
        <v>0</v>
      </c>
      <c r="AA468" s="5">
        <v>0</v>
      </c>
      <c r="AB468" s="5">
        <v>0</v>
      </c>
      <c r="AC468" s="5">
        <v>12</v>
      </c>
      <c r="AD468" s="5">
        <v>0</v>
      </c>
      <c r="AE468" s="5">
        <v>1</v>
      </c>
      <c r="AF468" s="5">
        <v>18</v>
      </c>
      <c r="AG468" s="5">
        <v>0</v>
      </c>
      <c r="AH468" s="5">
        <v>0</v>
      </c>
      <c r="AI468" s="5">
        <v>10</v>
      </c>
      <c r="AJ468" s="5" t="b">
        <v>0</v>
      </c>
      <c r="AK468" s="5" t="b">
        <v>0</v>
      </c>
      <c r="AL468" s="5" t="b">
        <v>0</v>
      </c>
      <c r="AM468" s="6" t="s">
        <v>68</v>
      </c>
      <c r="AN468" s="5">
        <v>0</v>
      </c>
      <c r="AO468" s="5">
        <v>6</v>
      </c>
      <c r="AP468" s="5" t="b">
        <v>1</v>
      </c>
      <c r="AQ468" s="59" t="s">
        <v>362</v>
      </c>
      <c r="AR468" s="5">
        <v>19</v>
      </c>
      <c r="AS468" s="5">
        <v>6</v>
      </c>
      <c r="AT468" s="5" t="b">
        <v>0</v>
      </c>
      <c r="AU468" s="6" t="s">
        <v>68</v>
      </c>
      <c r="AV468" s="5">
        <v>0</v>
      </c>
      <c r="AW468" s="5">
        <v>6</v>
      </c>
      <c r="AX468" s="5" t="b">
        <v>0</v>
      </c>
      <c r="AY468" s="6" t="s">
        <v>68</v>
      </c>
      <c r="AZ468" s="5">
        <v>0</v>
      </c>
      <c r="BA468" s="5">
        <v>6</v>
      </c>
      <c r="BB468" s="5">
        <v>4</v>
      </c>
      <c r="BC468" s="5">
        <v>4</v>
      </c>
      <c r="BD468" s="5">
        <v>1</v>
      </c>
      <c r="BE468" s="5">
        <v>1</v>
      </c>
      <c r="BF468" s="6" t="s">
        <v>68</v>
      </c>
      <c r="BG468" s="6"/>
      <c r="BH468" s="5"/>
      <c r="BI468" s="5"/>
      <c r="BJ468" s="6"/>
      <c r="BK468" s="5" t="s">
        <v>1</v>
      </c>
      <c r="BL468" s="5">
        <v>0</v>
      </c>
      <c r="BM468" s="5" t="b">
        <v>0</v>
      </c>
      <c r="CL468" s="77" t="str">
        <f t="shared" si="14"/>
        <v>TOCBackmatterHeadcbmh</v>
      </c>
    </row>
    <row r="469" spans="1:90">
      <c r="A469" s="76" t="str">
        <f t="shared" si="15"/>
        <v>TOC Chapter Number (ccn)</v>
      </c>
      <c r="B469" s="5"/>
      <c r="C469" s="5" t="s">
        <v>929</v>
      </c>
      <c r="D469" s="5" t="s">
        <v>1389</v>
      </c>
      <c r="E469" s="5" t="s">
        <v>328</v>
      </c>
      <c r="F469" s="5">
        <v>1</v>
      </c>
      <c r="G469" s="5" t="b">
        <v>0</v>
      </c>
      <c r="H469" s="5">
        <v>1</v>
      </c>
      <c r="I469" s="5" t="s">
        <v>4</v>
      </c>
      <c r="J469" s="5">
        <v>14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 t="b">
        <v>1</v>
      </c>
      <c r="Y469" s="5" t="b">
        <v>0</v>
      </c>
      <c r="Z469" s="5" t="b">
        <v>0</v>
      </c>
      <c r="AA469" s="5">
        <v>0</v>
      </c>
      <c r="AB469" s="5">
        <v>0</v>
      </c>
      <c r="AC469" s="5">
        <v>12</v>
      </c>
      <c r="AD469" s="5">
        <v>10</v>
      </c>
      <c r="AE469" s="5">
        <v>1</v>
      </c>
      <c r="AF469" s="5">
        <v>18</v>
      </c>
      <c r="AG469" s="5">
        <v>0</v>
      </c>
      <c r="AH469" s="5">
        <v>0</v>
      </c>
      <c r="AI469" s="5">
        <v>10</v>
      </c>
      <c r="AJ469" s="5" t="b">
        <v>0</v>
      </c>
      <c r="AK469" s="5" t="b">
        <v>0</v>
      </c>
      <c r="AL469" s="5" t="b">
        <v>0</v>
      </c>
      <c r="AM469" s="6" t="s">
        <v>68</v>
      </c>
      <c r="AN469" s="5">
        <v>0</v>
      </c>
      <c r="AO469" s="5">
        <v>6</v>
      </c>
      <c r="AP469" s="5" t="b">
        <v>1</v>
      </c>
      <c r="AQ469" s="59" t="s">
        <v>362</v>
      </c>
      <c r="AR469" s="5">
        <v>1</v>
      </c>
      <c r="AS469" s="5">
        <v>48</v>
      </c>
      <c r="AT469" s="5" t="b">
        <v>0</v>
      </c>
      <c r="AU469" s="6" t="s">
        <v>68</v>
      </c>
      <c r="AV469" s="5">
        <v>0</v>
      </c>
      <c r="AW469" s="5">
        <v>6</v>
      </c>
      <c r="AX469" s="5" t="b">
        <v>0</v>
      </c>
      <c r="AY469" s="6" t="s">
        <v>68</v>
      </c>
      <c r="AZ469" s="5">
        <v>0</v>
      </c>
      <c r="BA469" s="5">
        <v>6</v>
      </c>
      <c r="BB469" s="5">
        <v>4</v>
      </c>
      <c r="BC469" s="5">
        <v>4</v>
      </c>
      <c r="BD469" s="5">
        <v>1</v>
      </c>
      <c r="BE469" s="5">
        <v>1</v>
      </c>
      <c r="BF469" s="6" t="s">
        <v>68</v>
      </c>
      <c r="BG469" s="6"/>
      <c r="BH469" s="5"/>
      <c r="BI469" s="5"/>
      <c r="BJ469" s="6"/>
      <c r="BK469" s="5" t="s">
        <v>1</v>
      </c>
      <c r="BL469" s="5">
        <v>0</v>
      </c>
      <c r="BM469" s="5" t="b">
        <v>0</v>
      </c>
      <c r="CL469" s="77" t="str">
        <f t="shared" si="14"/>
        <v>TOCChapterNumberccn</v>
      </c>
    </row>
    <row r="470" spans="1:90">
      <c r="A470" s="76" t="str">
        <f t="shared" si="15"/>
        <v>TOC Chapter Subtitle (ccst)</v>
      </c>
      <c r="B470" s="5"/>
      <c r="C470" s="5" t="s">
        <v>930</v>
      </c>
      <c r="D470" s="5" t="s">
        <v>1390</v>
      </c>
      <c r="E470" s="5" t="s">
        <v>327</v>
      </c>
      <c r="F470" s="5">
        <v>1</v>
      </c>
      <c r="G470" s="5" t="b">
        <v>0</v>
      </c>
      <c r="H470" s="5">
        <v>1</v>
      </c>
      <c r="I470" s="5" t="s">
        <v>74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 t="b">
        <v>0</v>
      </c>
      <c r="Y470" s="5" t="b">
        <v>0</v>
      </c>
      <c r="Z470" s="5" t="b">
        <v>0</v>
      </c>
      <c r="AA470" s="5">
        <v>27</v>
      </c>
      <c r="AB470" s="5">
        <v>0</v>
      </c>
      <c r="AC470" s="5">
        <v>0</v>
      </c>
      <c r="AD470" s="5">
        <v>0</v>
      </c>
      <c r="AE470" s="5">
        <v>1</v>
      </c>
      <c r="AF470" s="5">
        <v>18</v>
      </c>
      <c r="AG470" s="5">
        <v>0</v>
      </c>
      <c r="AH470" s="5">
        <v>0</v>
      </c>
      <c r="AI470" s="5">
        <v>10</v>
      </c>
      <c r="AJ470" s="5" t="b">
        <v>0</v>
      </c>
      <c r="AK470" s="5" t="b">
        <v>0</v>
      </c>
      <c r="AL470" s="5" t="b">
        <v>0</v>
      </c>
      <c r="AM470" s="6" t="s">
        <v>68</v>
      </c>
      <c r="AN470" s="5">
        <v>0</v>
      </c>
      <c r="AO470" s="5">
        <v>6</v>
      </c>
      <c r="AP470" s="5" t="b">
        <v>1</v>
      </c>
      <c r="AQ470" s="59" t="s">
        <v>362</v>
      </c>
      <c r="AR470" s="5">
        <v>15</v>
      </c>
      <c r="AS470" s="5">
        <v>36</v>
      </c>
      <c r="AT470" s="5" t="b">
        <v>0</v>
      </c>
      <c r="AU470" s="6" t="s">
        <v>68</v>
      </c>
      <c r="AV470" s="5">
        <v>0</v>
      </c>
      <c r="AW470" s="5">
        <v>6</v>
      </c>
      <c r="AX470" s="5" t="b">
        <v>0</v>
      </c>
      <c r="AY470" s="6" t="s">
        <v>68</v>
      </c>
      <c r="AZ470" s="5">
        <v>0</v>
      </c>
      <c r="BA470" s="5">
        <v>6</v>
      </c>
      <c r="BB470" s="5">
        <v>31</v>
      </c>
      <c r="BC470" s="5">
        <v>4</v>
      </c>
      <c r="BD470" s="5">
        <v>1</v>
      </c>
      <c r="BE470" s="5">
        <v>1</v>
      </c>
      <c r="BF470" s="6" t="s">
        <v>68</v>
      </c>
      <c r="BG470" s="6"/>
      <c r="BH470" s="5"/>
      <c r="BI470" s="5"/>
      <c r="BJ470" s="6"/>
      <c r="BK470" s="5" t="s">
        <v>1</v>
      </c>
      <c r="BL470" s="5">
        <v>0</v>
      </c>
      <c r="BM470" s="5" t="b">
        <v>0</v>
      </c>
      <c r="CL470" s="77" t="str">
        <f t="shared" si="14"/>
        <v>TOCChapterSubtitleccst</v>
      </c>
    </row>
    <row r="471" spans="1:90">
      <c r="A471" s="76" t="str">
        <f t="shared" si="15"/>
        <v>TOC Chapter Title (cct)</v>
      </c>
      <c r="B471" s="5"/>
      <c r="C471" s="5" t="s">
        <v>931</v>
      </c>
      <c r="D471" s="5" t="s">
        <v>1391</v>
      </c>
      <c r="E471" s="5" t="s">
        <v>328</v>
      </c>
      <c r="F471" s="5">
        <v>1</v>
      </c>
      <c r="G471" s="5" t="b">
        <v>0</v>
      </c>
      <c r="H471" s="5">
        <v>1</v>
      </c>
      <c r="I471" s="5" t="s">
        <v>2</v>
      </c>
      <c r="J471" s="5">
        <v>11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0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 t="b">
        <v>1</v>
      </c>
      <c r="Y471" s="5" t="b">
        <v>0</v>
      </c>
      <c r="Z471" s="5" t="b">
        <v>0</v>
      </c>
      <c r="AA471" s="5">
        <v>0</v>
      </c>
      <c r="AB471" s="5">
        <v>0</v>
      </c>
      <c r="AC471" s="5">
        <v>0</v>
      </c>
      <c r="AD471" s="5">
        <v>10</v>
      </c>
      <c r="AE471" s="5">
        <v>1</v>
      </c>
      <c r="AF471" s="5">
        <v>18</v>
      </c>
      <c r="AG471" s="5">
        <v>0</v>
      </c>
      <c r="AH471" s="5">
        <v>0</v>
      </c>
      <c r="AI471" s="5">
        <v>10</v>
      </c>
      <c r="AJ471" s="5" t="b">
        <v>0</v>
      </c>
      <c r="AK471" s="5" t="b">
        <v>0</v>
      </c>
      <c r="AL471" s="5" t="b">
        <v>0</v>
      </c>
      <c r="AM471" s="6" t="s">
        <v>68</v>
      </c>
      <c r="AN471" s="5">
        <v>0</v>
      </c>
      <c r="AO471" s="5">
        <v>6</v>
      </c>
      <c r="AP471" s="5" t="b">
        <v>1</v>
      </c>
      <c r="AQ471" s="59" t="s">
        <v>362</v>
      </c>
      <c r="AR471" s="5">
        <v>7</v>
      </c>
      <c r="AS471" s="5">
        <v>18</v>
      </c>
      <c r="AT471" s="5" t="b">
        <v>0</v>
      </c>
      <c r="AU471" s="6" t="s">
        <v>68</v>
      </c>
      <c r="AV471" s="5">
        <v>0</v>
      </c>
      <c r="AW471" s="5">
        <v>6</v>
      </c>
      <c r="AX471" s="5" t="b">
        <v>0</v>
      </c>
      <c r="AY471" s="6" t="s">
        <v>68</v>
      </c>
      <c r="AZ471" s="5">
        <v>0</v>
      </c>
      <c r="BA471" s="5">
        <v>6</v>
      </c>
      <c r="BB471" s="5">
        <v>4</v>
      </c>
      <c r="BC471" s="5">
        <v>4</v>
      </c>
      <c r="BD471" s="5">
        <v>1</v>
      </c>
      <c r="BE471" s="5">
        <v>1</v>
      </c>
      <c r="BF471" s="6" t="s">
        <v>68</v>
      </c>
      <c r="BG471" s="6"/>
      <c r="BH471" s="5"/>
      <c r="BI471" s="5"/>
      <c r="BJ471" s="6"/>
      <c r="BK471" s="5" t="s">
        <v>1</v>
      </c>
      <c r="BL471" s="5">
        <v>0</v>
      </c>
      <c r="BM471" s="5" t="b">
        <v>0</v>
      </c>
      <c r="CL471" s="77" t="str">
        <f t="shared" si="14"/>
        <v>TOCChapterTitlecct</v>
      </c>
    </row>
    <row r="472" spans="1:90">
      <c r="A472" s="76" t="str">
        <f t="shared" si="15"/>
        <v>TOC Frontmatter Head (cfmh)</v>
      </c>
      <c r="B472" s="5"/>
      <c r="C472" s="5" t="s">
        <v>932</v>
      </c>
      <c r="D472" s="5" t="s">
        <v>1392</v>
      </c>
      <c r="E472" s="5" t="s">
        <v>325</v>
      </c>
      <c r="F472" s="5">
        <v>1</v>
      </c>
      <c r="G472" s="5" t="b">
        <v>0</v>
      </c>
      <c r="H472" s="5">
        <v>1</v>
      </c>
      <c r="I472" s="5" t="s">
        <v>74</v>
      </c>
      <c r="J472" s="5">
        <v>12</v>
      </c>
      <c r="K472" s="5" t="b">
        <v>0</v>
      </c>
      <c r="L472" s="5" t="b">
        <v>0</v>
      </c>
      <c r="M472" s="6" t="s">
        <v>68</v>
      </c>
      <c r="N472" s="5" t="b">
        <v>0</v>
      </c>
      <c r="O472" s="5" t="b">
        <v>0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 t="b">
        <v>0</v>
      </c>
      <c r="Y472" s="5" t="b">
        <v>0</v>
      </c>
      <c r="Z472" s="5" t="b">
        <v>0</v>
      </c>
      <c r="AA472" s="5">
        <v>0</v>
      </c>
      <c r="AB472" s="5">
        <v>0</v>
      </c>
      <c r="AC472" s="5">
        <v>0</v>
      </c>
      <c r="AD472" s="5">
        <v>0</v>
      </c>
      <c r="AE472" s="5">
        <v>1</v>
      </c>
      <c r="AF472" s="5">
        <v>18</v>
      </c>
      <c r="AG472" s="5">
        <v>0</v>
      </c>
      <c r="AH472" s="5">
        <v>0</v>
      </c>
      <c r="AI472" s="5">
        <v>10</v>
      </c>
      <c r="AJ472" s="5" t="b">
        <v>0</v>
      </c>
      <c r="AK472" s="5" t="b">
        <v>0</v>
      </c>
      <c r="AL472" s="5" t="b">
        <v>0</v>
      </c>
      <c r="AM472" s="6" t="s">
        <v>68</v>
      </c>
      <c r="AN472" s="5">
        <v>0</v>
      </c>
      <c r="AO472" s="5">
        <v>6</v>
      </c>
      <c r="AP472" s="5" t="b">
        <v>1</v>
      </c>
      <c r="AQ472" s="59" t="s">
        <v>362</v>
      </c>
      <c r="AR472" s="5">
        <v>18</v>
      </c>
      <c r="AS472" s="5">
        <v>12</v>
      </c>
      <c r="AT472" s="5" t="b">
        <v>0</v>
      </c>
      <c r="AU472" s="6" t="s">
        <v>68</v>
      </c>
      <c r="AV472" s="5">
        <v>0</v>
      </c>
      <c r="AW472" s="5">
        <v>6</v>
      </c>
      <c r="AX472" s="5" t="b">
        <v>0</v>
      </c>
      <c r="AY472" s="6" t="s">
        <v>68</v>
      </c>
      <c r="AZ472" s="5">
        <v>0</v>
      </c>
      <c r="BA472" s="5">
        <v>6</v>
      </c>
      <c r="BB472" s="5">
        <v>4</v>
      </c>
      <c r="BC472" s="5">
        <v>4</v>
      </c>
      <c r="BD472" s="5">
        <v>1</v>
      </c>
      <c r="BE472" s="5">
        <v>1</v>
      </c>
      <c r="BF472" s="6" t="s">
        <v>68</v>
      </c>
      <c r="BG472" s="6"/>
      <c r="BH472" s="5"/>
      <c r="BI472" s="5"/>
      <c r="BJ472" s="6"/>
      <c r="BK472" s="5" t="s">
        <v>1</v>
      </c>
      <c r="BL472" s="5">
        <v>0</v>
      </c>
      <c r="BM472" s="5" t="b">
        <v>0</v>
      </c>
      <c r="CL472" s="77" t="str">
        <f t="shared" si="14"/>
        <v>TOCFrontmatterHeadcfmh</v>
      </c>
    </row>
    <row r="473" spans="1:90">
      <c r="A473" s="76" t="str">
        <f t="shared" si="15"/>
        <v>TOC Level-1 Chapter Head (ch1)</v>
      </c>
      <c r="B473" s="5"/>
      <c r="C473" s="5" t="s">
        <v>933</v>
      </c>
      <c r="D473" s="5" t="s">
        <v>1393</v>
      </c>
      <c r="E473" s="5" t="s">
        <v>329</v>
      </c>
      <c r="F473" s="5">
        <v>1</v>
      </c>
      <c r="G473" s="5" t="b">
        <v>0</v>
      </c>
      <c r="H473" s="5">
        <v>1</v>
      </c>
      <c r="I473" s="5" t="s">
        <v>74</v>
      </c>
      <c r="J473" s="5">
        <v>10</v>
      </c>
      <c r="K473" s="5" t="b">
        <v>0</v>
      </c>
      <c r="L473" s="5" t="b">
        <v>0</v>
      </c>
      <c r="M473" s="6" t="s">
        <v>68</v>
      </c>
      <c r="N473" s="5" t="b">
        <v>0</v>
      </c>
      <c r="O473" s="5" t="b">
        <v>0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 t="b">
        <v>1</v>
      </c>
      <c r="Y473" s="5" t="b">
        <v>0</v>
      </c>
      <c r="Z473" s="5" t="b">
        <v>0</v>
      </c>
      <c r="AA473" s="5">
        <v>27</v>
      </c>
      <c r="AB473" s="5">
        <v>0</v>
      </c>
      <c r="AC473" s="5">
        <v>0</v>
      </c>
      <c r="AD473" s="5">
        <v>0</v>
      </c>
      <c r="AE473" s="5">
        <v>1</v>
      </c>
      <c r="AF473" s="5">
        <v>18</v>
      </c>
      <c r="AG473" s="5">
        <v>0</v>
      </c>
      <c r="AH473" s="5">
        <v>0</v>
      </c>
      <c r="AI473" s="5">
        <v>10</v>
      </c>
      <c r="AJ473" s="5" t="b">
        <v>0</v>
      </c>
      <c r="AK473" s="5" t="b">
        <v>0</v>
      </c>
      <c r="AL473" s="5" t="b">
        <v>0</v>
      </c>
      <c r="AM473" s="6" t="s">
        <v>68</v>
      </c>
      <c r="AN473" s="5">
        <v>0</v>
      </c>
      <c r="AO473" s="5">
        <v>6</v>
      </c>
      <c r="AP473" s="5" t="b">
        <v>1</v>
      </c>
      <c r="AQ473" s="59" t="s">
        <v>362</v>
      </c>
      <c r="AR473" s="5">
        <v>16</v>
      </c>
      <c r="AS473" s="5">
        <v>36</v>
      </c>
      <c r="AT473" s="5" t="b">
        <v>0</v>
      </c>
      <c r="AU473" s="6" t="s">
        <v>68</v>
      </c>
      <c r="AV473" s="5">
        <v>0</v>
      </c>
      <c r="AW473" s="5">
        <v>6</v>
      </c>
      <c r="AX473" s="5" t="b">
        <v>0</v>
      </c>
      <c r="AY473" s="6" t="s">
        <v>68</v>
      </c>
      <c r="AZ473" s="5">
        <v>0</v>
      </c>
      <c r="BA473" s="5">
        <v>6</v>
      </c>
      <c r="BB473" s="5">
        <v>31</v>
      </c>
      <c r="BC473" s="5">
        <v>4</v>
      </c>
      <c r="BD473" s="5">
        <v>1</v>
      </c>
      <c r="BE473" s="5">
        <v>1</v>
      </c>
      <c r="BF473" s="6" t="s">
        <v>68</v>
      </c>
      <c r="BG473" s="6"/>
      <c r="BH473" s="5"/>
      <c r="BI473" s="5"/>
      <c r="BJ473" s="6"/>
      <c r="BK473" s="5" t="s">
        <v>1</v>
      </c>
      <c r="BL473" s="5">
        <v>0</v>
      </c>
      <c r="BM473" s="5" t="b">
        <v>0</v>
      </c>
      <c r="CL473" s="77" t="str">
        <f t="shared" si="14"/>
        <v>TOCLevel-1ChapterHeadch1</v>
      </c>
    </row>
    <row r="474" spans="1:90">
      <c r="A474" s="76" t="str">
        <f t="shared" si="15"/>
        <v>TOC Page Number (cnum)</v>
      </c>
      <c r="B474" s="5"/>
      <c r="C474" s="5" t="s">
        <v>934</v>
      </c>
      <c r="D474" s="5" t="s">
        <v>1394</v>
      </c>
      <c r="E474" s="5" t="s">
        <v>330</v>
      </c>
      <c r="F474" s="5">
        <v>1</v>
      </c>
      <c r="G474" s="5" t="b">
        <v>0</v>
      </c>
      <c r="H474" s="5">
        <v>1</v>
      </c>
      <c r="I474" s="5" t="s">
        <v>74</v>
      </c>
      <c r="J474" s="5">
        <v>12</v>
      </c>
      <c r="K474" s="5" t="b">
        <v>0</v>
      </c>
      <c r="L474" s="5" t="b">
        <v>0</v>
      </c>
      <c r="M474" s="6" t="s">
        <v>68</v>
      </c>
      <c r="N474" s="5" t="b">
        <v>0</v>
      </c>
      <c r="O474" s="5" t="b">
        <v>0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 t="b">
        <v>0</v>
      </c>
      <c r="Y474" s="5" t="b">
        <v>0</v>
      </c>
      <c r="Z474" s="5" t="b">
        <v>0</v>
      </c>
      <c r="AA474" s="5">
        <v>54</v>
      </c>
      <c r="AB474" s="5">
        <v>0</v>
      </c>
      <c r="AC474" s="5">
        <v>12</v>
      </c>
      <c r="AD474" s="5">
        <v>0</v>
      </c>
      <c r="AE474" s="5">
        <v>1</v>
      </c>
      <c r="AF474" s="5">
        <v>18</v>
      </c>
      <c r="AG474" s="5">
        <v>0</v>
      </c>
      <c r="AH474" s="5">
        <v>0</v>
      </c>
      <c r="AI474" s="5">
        <v>10</v>
      </c>
      <c r="AJ474" s="5" t="b">
        <v>0</v>
      </c>
      <c r="AK474" s="5" t="b">
        <v>0</v>
      </c>
      <c r="AL474" s="5" t="b">
        <v>0</v>
      </c>
      <c r="AM474" s="6" t="s">
        <v>68</v>
      </c>
      <c r="AN474" s="5">
        <v>0</v>
      </c>
      <c r="AO474" s="5">
        <v>6</v>
      </c>
      <c r="AP474" s="5" t="b">
        <v>1</v>
      </c>
      <c r="AQ474" s="59" t="s">
        <v>362</v>
      </c>
      <c r="AR474" s="5">
        <v>17</v>
      </c>
      <c r="AS474" s="5">
        <v>24</v>
      </c>
      <c r="AT474" s="5" t="b">
        <v>0</v>
      </c>
      <c r="AU474" s="6" t="s">
        <v>68</v>
      </c>
      <c r="AV474" s="5">
        <v>0</v>
      </c>
      <c r="AW474" s="5">
        <v>6</v>
      </c>
      <c r="AX474" s="5" t="b">
        <v>0</v>
      </c>
      <c r="AY474" s="6" t="s">
        <v>68</v>
      </c>
      <c r="AZ474" s="5">
        <v>0</v>
      </c>
      <c r="BA474" s="5">
        <v>6</v>
      </c>
      <c r="BB474" s="5">
        <v>4</v>
      </c>
      <c r="BC474" s="5">
        <v>4</v>
      </c>
      <c r="BD474" s="5">
        <v>1</v>
      </c>
      <c r="BE474" s="5">
        <v>1</v>
      </c>
      <c r="BF474" s="6" t="s">
        <v>68</v>
      </c>
      <c r="BG474" s="6"/>
      <c r="BH474" s="5"/>
      <c r="BI474" s="5"/>
      <c r="BJ474" s="6"/>
      <c r="BK474" s="5" t="s">
        <v>1</v>
      </c>
      <c r="BL474" s="5">
        <v>0</v>
      </c>
      <c r="BM474" s="5" t="b">
        <v>0</v>
      </c>
      <c r="CL474" s="77" t="str">
        <f t="shared" si="14"/>
        <v>TOCPageNumbercnum</v>
      </c>
    </row>
    <row r="475" spans="1:90">
      <c r="A475" s="76" t="str">
        <f t="shared" si="15"/>
        <v>TOC Part Number (cpn)</v>
      </c>
      <c r="B475" s="5"/>
      <c r="C475" s="5" t="s">
        <v>935</v>
      </c>
      <c r="D475" s="5" t="s">
        <v>1395</v>
      </c>
      <c r="E475" s="5" t="s">
        <v>331</v>
      </c>
      <c r="F475" s="5">
        <v>1</v>
      </c>
      <c r="G475" s="5" t="b">
        <v>0</v>
      </c>
      <c r="H475" s="5">
        <v>1</v>
      </c>
      <c r="I475" s="5" t="s">
        <v>4</v>
      </c>
      <c r="J475" s="5">
        <v>16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0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 t="b">
        <v>1</v>
      </c>
      <c r="Y475" s="5" t="b">
        <v>0</v>
      </c>
      <c r="Z475" s="5" t="b">
        <v>0</v>
      </c>
      <c r="AA475" s="5">
        <v>0</v>
      </c>
      <c r="AB475" s="5">
        <v>0</v>
      </c>
      <c r="AC475" s="5">
        <v>12</v>
      </c>
      <c r="AD475" s="5">
        <v>10</v>
      </c>
      <c r="AE475" s="5">
        <v>1</v>
      </c>
      <c r="AF475" s="5">
        <v>18</v>
      </c>
      <c r="AG475" s="5">
        <v>0</v>
      </c>
      <c r="AH475" s="5">
        <v>0</v>
      </c>
      <c r="AI475" s="5">
        <v>10</v>
      </c>
      <c r="AJ475" s="5" t="b">
        <v>0</v>
      </c>
      <c r="AK475" s="5" t="b">
        <v>0</v>
      </c>
      <c r="AL475" s="5" t="b">
        <v>0</v>
      </c>
      <c r="AM475" s="6" t="s">
        <v>68</v>
      </c>
      <c r="AN475" s="5">
        <v>0</v>
      </c>
      <c r="AO475" s="5">
        <v>6</v>
      </c>
      <c r="AP475" s="5" t="b">
        <v>1</v>
      </c>
      <c r="AQ475" s="59" t="s">
        <v>362</v>
      </c>
      <c r="AR475" s="5">
        <v>2</v>
      </c>
      <c r="AS475" s="5">
        <v>48</v>
      </c>
      <c r="AT475" s="5" t="b">
        <v>0</v>
      </c>
      <c r="AU475" s="6" t="s">
        <v>68</v>
      </c>
      <c r="AV475" s="5">
        <v>0</v>
      </c>
      <c r="AW475" s="5">
        <v>6</v>
      </c>
      <c r="AX475" s="5" t="b">
        <v>0</v>
      </c>
      <c r="AY475" s="6" t="s">
        <v>68</v>
      </c>
      <c r="AZ475" s="5">
        <v>0</v>
      </c>
      <c r="BA475" s="5">
        <v>6</v>
      </c>
      <c r="BB475" s="5">
        <v>4</v>
      </c>
      <c r="BC475" s="5">
        <v>4</v>
      </c>
      <c r="BD475" s="5">
        <v>1</v>
      </c>
      <c r="BE475" s="5">
        <v>1</v>
      </c>
      <c r="BF475" s="6" t="s">
        <v>68</v>
      </c>
      <c r="BG475" s="6"/>
      <c r="BH475" s="5"/>
      <c r="BI475" s="5"/>
      <c r="BJ475" s="6"/>
      <c r="BK475" s="5" t="s">
        <v>1</v>
      </c>
      <c r="BL475" s="5">
        <v>0</v>
      </c>
      <c r="BM475" s="5" t="b">
        <v>0</v>
      </c>
      <c r="CL475" s="77" t="str">
        <f t="shared" si="14"/>
        <v>TOCPartNumbercpn</v>
      </c>
    </row>
    <row r="476" spans="1:90">
      <c r="A476" s="76" t="str">
        <f t="shared" si="15"/>
        <v>TOC Part Title (cpt)</v>
      </c>
      <c r="B476" s="5"/>
      <c r="C476" s="5" t="s">
        <v>936</v>
      </c>
      <c r="D476" s="5" t="s">
        <v>1396</v>
      </c>
      <c r="E476" s="5" t="s">
        <v>331</v>
      </c>
      <c r="F476" s="5">
        <v>1</v>
      </c>
      <c r="G476" s="5" t="b">
        <v>0</v>
      </c>
      <c r="H476" s="5">
        <v>1</v>
      </c>
      <c r="I476" s="5" t="s">
        <v>84</v>
      </c>
      <c r="J476" s="5">
        <v>14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0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 t="b">
        <v>1</v>
      </c>
      <c r="Y476" s="5" t="b">
        <v>0</v>
      </c>
      <c r="Z476" s="5" t="b">
        <v>0</v>
      </c>
      <c r="AA476" s="5">
        <v>0</v>
      </c>
      <c r="AB476" s="5">
        <v>0</v>
      </c>
      <c r="AC476" s="5">
        <v>0</v>
      </c>
      <c r="AD476" s="5">
        <v>12</v>
      </c>
      <c r="AE476" s="5">
        <v>1</v>
      </c>
      <c r="AF476" s="5">
        <v>18</v>
      </c>
      <c r="AG476" s="5">
        <v>0</v>
      </c>
      <c r="AH476" s="5">
        <v>0</v>
      </c>
      <c r="AI476" s="5">
        <v>10</v>
      </c>
      <c r="AJ476" s="5" t="b">
        <v>0</v>
      </c>
      <c r="AK476" s="5" t="b">
        <v>0</v>
      </c>
      <c r="AL476" s="5" t="b">
        <v>0</v>
      </c>
      <c r="AM476" s="6" t="s">
        <v>68</v>
      </c>
      <c r="AN476" s="5">
        <v>0</v>
      </c>
      <c r="AO476" s="5">
        <v>6</v>
      </c>
      <c r="AP476" s="5" t="b">
        <v>1</v>
      </c>
      <c r="AQ476" s="59" t="s">
        <v>362</v>
      </c>
      <c r="AR476" s="5">
        <v>8</v>
      </c>
      <c r="AS476" s="5">
        <v>12</v>
      </c>
      <c r="AT476" s="5" t="b">
        <v>0</v>
      </c>
      <c r="AU476" s="6" t="s">
        <v>68</v>
      </c>
      <c r="AV476" s="5">
        <v>0</v>
      </c>
      <c r="AW476" s="5">
        <v>6</v>
      </c>
      <c r="AX476" s="5" t="b">
        <v>0</v>
      </c>
      <c r="AY476" s="6" t="s">
        <v>68</v>
      </c>
      <c r="AZ476" s="5">
        <v>0</v>
      </c>
      <c r="BA476" s="5">
        <v>6</v>
      </c>
      <c r="BB476" s="5">
        <v>4</v>
      </c>
      <c r="BC476" s="5">
        <v>4</v>
      </c>
      <c r="BD476" s="5">
        <v>1</v>
      </c>
      <c r="BE476" s="5">
        <v>1</v>
      </c>
      <c r="BF476" s="6" t="s">
        <v>68</v>
      </c>
      <c r="BG476" s="6"/>
      <c r="BH476" s="5"/>
      <c r="BI476" s="5"/>
      <c r="BJ476" s="6"/>
      <c r="BK476" s="5" t="s">
        <v>1</v>
      </c>
      <c r="BL476" s="5">
        <v>0</v>
      </c>
      <c r="BM476" s="5" t="b">
        <v>0</v>
      </c>
      <c r="CL476" s="77" t="str">
        <f t="shared" si="14"/>
        <v>TOCPartTitlecpt</v>
      </c>
    </row>
    <row r="477" spans="1:90">
      <c r="A477" s="76" t="str">
        <f t="shared" si="15"/>
        <v>Verse Run-in Text (vrtx)</v>
      </c>
      <c r="B477" s="5"/>
      <c r="C477" s="5" t="s">
        <v>937</v>
      </c>
      <c r="D477" s="5" t="s">
        <v>1397</v>
      </c>
      <c r="E477" s="5" t="s">
        <v>332</v>
      </c>
      <c r="F477" s="5">
        <v>1</v>
      </c>
      <c r="G477" s="5" t="b">
        <v>0</v>
      </c>
      <c r="H477" s="5">
        <v>1</v>
      </c>
      <c r="I477" s="5" t="s">
        <v>74</v>
      </c>
      <c r="J477" s="5">
        <v>12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0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 t="b">
        <v>0</v>
      </c>
      <c r="Y477" s="5" t="b">
        <v>0</v>
      </c>
      <c r="Z477" s="5" t="b">
        <v>0</v>
      </c>
      <c r="AA477" s="5">
        <v>0</v>
      </c>
      <c r="AB477" s="5">
        <v>0</v>
      </c>
      <c r="AC477" s="5">
        <v>0</v>
      </c>
      <c r="AD477" s="5">
        <v>0</v>
      </c>
      <c r="AE477" s="5">
        <v>2</v>
      </c>
      <c r="AF477" s="5">
        <v>24</v>
      </c>
      <c r="AG477" s="5">
        <v>0</v>
      </c>
      <c r="AH477" s="5">
        <v>36</v>
      </c>
      <c r="AI477" s="5">
        <v>10</v>
      </c>
      <c r="AJ477" s="5" t="b">
        <v>0</v>
      </c>
      <c r="AK477" s="5" t="b">
        <v>0</v>
      </c>
      <c r="AL477" s="5" t="b">
        <v>0</v>
      </c>
      <c r="AM477" s="6" t="s">
        <v>68</v>
      </c>
      <c r="AN477" s="5">
        <v>0</v>
      </c>
      <c r="AO477" s="5">
        <v>6</v>
      </c>
      <c r="AP477" s="5" t="b">
        <v>1</v>
      </c>
      <c r="AQ477" s="46" t="s">
        <v>238</v>
      </c>
      <c r="AR477" s="5">
        <v>2</v>
      </c>
      <c r="AS477" s="5">
        <v>48</v>
      </c>
      <c r="AT477" s="5" t="b">
        <v>0</v>
      </c>
      <c r="AU477" s="6" t="s">
        <v>68</v>
      </c>
      <c r="AV477" s="5">
        <v>0</v>
      </c>
      <c r="AW477" s="5">
        <v>6</v>
      </c>
      <c r="AX477" s="5" t="b">
        <v>0</v>
      </c>
      <c r="AY477" s="6" t="s">
        <v>68</v>
      </c>
      <c r="AZ477" s="5">
        <v>0</v>
      </c>
      <c r="BA477" s="5">
        <v>6</v>
      </c>
      <c r="BB477" s="5">
        <v>4</v>
      </c>
      <c r="BC477" s="5">
        <v>4</v>
      </c>
      <c r="BD477" s="5">
        <v>1</v>
      </c>
      <c r="BE477" s="5">
        <v>1</v>
      </c>
      <c r="BF477" s="6" t="s">
        <v>68</v>
      </c>
      <c r="BG477" s="6"/>
      <c r="BH477" s="5"/>
      <c r="BI477" s="5"/>
      <c r="BJ477" s="6"/>
      <c r="BK477" s="5" t="s">
        <v>1</v>
      </c>
      <c r="BL477" s="5">
        <v>0</v>
      </c>
      <c r="BM477" s="5" t="b">
        <v>0</v>
      </c>
      <c r="BP477" s="8" t="s">
        <v>1323</v>
      </c>
      <c r="BR477" s="8" t="s">
        <v>1479</v>
      </c>
      <c r="BW477" s="8" t="b">
        <v>1</v>
      </c>
      <c r="CL477" s="77" t="str">
        <f t="shared" si="14"/>
        <v>VerseRun-inTextvrtx</v>
      </c>
    </row>
    <row r="478" spans="1:90">
      <c r="A478" s="76" t="str">
        <f t="shared" si="15"/>
        <v>Verse Run-in Text No-Indent (vrtx1)</v>
      </c>
      <c r="B478" s="5"/>
      <c r="C478" s="5" t="s">
        <v>938</v>
      </c>
      <c r="D478" s="5" t="s">
        <v>1398</v>
      </c>
      <c r="E478" s="5" t="s">
        <v>332</v>
      </c>
      <c r="F478" s="5">
        <v>1</v>
      </c>
      <c r="G478" s="5" t="b">
        <v>0</v>
      </c>
      <c r="H478" s="5">
        <v>1</v>
      </c>
      <c r="I478" s="5" t="s">
        <v>74</v>
      </c>
      <c r="J478" s="5">
        <v>12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 t="b">
        <v>0</v>
      </c>
      <c r="Y478" s="5" t="b">
        <v>0</v>
      </c>
      <c r="Z478" s="5" t="b">
        <v>0</v>
      </c>
      <c r="AA478" s="5">
        <v>0</v>
      </c>
      <c r="AB478" s="5">
        <v>0</v>
      </c>
      <c r="AC478" s="5">
        <v>0</v>
      </c>
      <c r="AD478" s="5">
        <v>0</v>
      </c>
      <c r="AE478" s="5">
        <v>2</v>
      </c>
      <c r="AF478" s="5">
        <v>24</v>
      </c>
      <c r="AG478" s="5">
        <v>0</v>
      </c>
      <c r="AH478" s="5">
        <v>0</v>
      </c>
      <c r="AI478" s="5">
        <v>10</v>
      </c>
      <c r="AJ478" s="5" t="b">
        <v>0</v>
      </c>
      <c r="AK478" s="5" t="b">
        <v>0</v>
      </c>
      <c r="AL478" s="5" t="b">
        <v>0</v>
      </c>
      <c r="AM478" s="6" t="s">
        <v>68</v>
      </c>
      <c r="AN478" s="5">
        <v>0</v>
      </c>
      <c r="AO478" s="5">
        <v>6</v>
      </c>
      <c r="AP478" s="5" t="b">
        <v>1</v>
      </c>
      <c r="AQ478" s="46" t="s">
        <v>238</v>
      </c>
      <c r="AR478" s="5">
        <v>3</v>
      </c>
      <c r="AS478" s="5">
        <v>24</v>
      </c>
      <c r="AT478" s="5" t="b">
        <v>0</v>
      </c>
      <c r="AU478" s="6" t="s">
        <v>68</v>
      </c>
      <c r="AV478" s="5">
        <v>0</v>
      </c>
      <c r="AW478" s="5">
        <v>6</v>
      </c>
      <c r="AX478" s="5" t="b">
        <v>0</v>
      </c>
      <c r="AY478" s="6" t="s">
        <v>68</v>
      </c>
      <c r="AZ478" s="5">
        <v>0</v>
      </c>
      <c r="BA478" s="5">
        <v>6</v>
      </c>
      <c r="BB478" s="5">
        <v>4</v>
      </c>
      <c r="BC478" s="5">
        <v>4</v>
      </c>
      <c r="BD478" s="5">
        <v>1</v>
      </c>
      <c r="BE478" s="5">
        <v>1</v>
      </c>
      <c r="BF478" s="6" t="s">
        <v>68</v>
      </c>
      <c r="BG478" s="6"/>
      <c r="BH478" s="5"/>
      <c r="BI478" s="5"/>
      <c r="BJ478" s="6"/>
      <c r="BK478" s="5" t="s">
        <v>1</v>
      </c>
      <c r="BL478" s="5">
        <v>0</v>
      </c>
      <c r="BM478" s="5" t="b">
        <v>0</v>
      </c>
      <c r="BP478" s="8" t="s">
        <v>1323</v>
      </c>
      <c r="BR478" s="8" t="s">
        <v>1479</v>
      </c>
      <c r="BW478" s="8" t="b">
        <v>1</v>
      </c>
      <c r="CL478" s="77" t="str">
        <f t="shared" si="14"/>
        <v>VerseRun-inTextNo-Indentvrtx1</v>
      </c>
    </row>
    <row r="479" spans="1:90">
      <c r="A479" s="76" t="str">
        <f t="shared" si="15"/>
        <v>Verse Text (vtx)</v>
      </c>
      <c r="B479" s="5"/>
      <c r="C479" s="5" t="s">
        <v>939</v>
      </c>
      <c r="D479" s="5" t="s">
        <v>1399</v>
      </c>
      <c r="E479" s="5" t="s">
        <v>333</v>
      </c>
      <c r="F479" s="5">
        <v>1</v>
      </c>
      <c r="G479" s="5" t="b">
        <v>0</v>
      </c>
      <c r="H479" s="5">
        <v>1</v>
      </c>
      <c r="I479" s="5" t="s">
        <v>74</v>
      </c>
      <c r="J479" s="5">
        <v>12</v>
      </c>
      <c r="K479" s="5" t="b">
        <v>0</v>
      </c>
      <c r="L479" s="5" t="b">
        <v>0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 t="b">
        <v>0</v>
      </c>
      <c r="Y479" s="5" t="b">
        <v>0</v>
      </c>
      <c r="Z479" s="5" t="b">
        <v>0</v>
      </c>
      <c r="AA479" s="5">
        <v>18</v>
      </c>
      <c r="AB479" s="5">
        <v>0</v>
      </c>
      <c r="AC479" s="5">
        <v>0</v>
      </c>
      <c r="AD479" s="5">
        <v>0</v>
      </c>
      <c r="AE479" s="5">
        <v>2</v>
      </c>
      <c r="AF479" s="5">
        <v>24</v>
      </c>
      <c r="AG479" s="5">
        <v>0</v>
      </c>
      <c r="AH479" s="5">
        <v>-18</v>
      </c>
      <c r="AI479" s="5">
        <v>10</v>
      </c>
      <c r="AJ479" s="5" t="b">
        <v>0</v>
      </c>
      <c r="AK479" s="5" t="b">
        <v>0</v>
      </c>
      <c r="AL479" s="5" t="b">
        <v>0</v>
      </c>
      <c r="AM479" s="6" t="s">
        <v>68</v>
      </c>
      <c r="AN479" s="5">
        <v>0</v>
      </c>
      <c r="AO479" s="5">
        <v>6</v>
      </c>
      <c r="AP479" s="5" t="b">
        <v>1</v>
      </c>
      <c r="AQ479" s="46" t="s">
        <v>238</v>
      </c>
      <c r="AR479" s="5">
        <v>1</v>
      </c>
      <c r="AS479" s="5">
        <v>48</v>
      </c>
      <c r="AT479" s="5" t="b">
        <v>0</v>
      </c>
      <c r="AU479" s="6" t="s">
        <v>68</v>
      </c>
      <c r="AV479" s="5">
        <v>0</v>
      </c>
      <c r="AW479" s="5">
        <v>6</v>
      </c>
      <c r="AX479" s="5" t="b">
        <v>0</v>
      </c>
      <c r="AY479" s="6" t="s">
        <v>68</v>
      </c>
      <c r="AZ479" s="5">
        <v>0</v>
      </c>
      <c r="BA479" s="5">
        <v>6</v>
      </c>
      <c r="BB479" s="5">
        <v>4</v>
      </c>
      <c r="BC479" s="5">
        <v>4</v>
      </c>
      <c r="BD479" s="5">
        <v>1</v>
      </c>
      <c r="BE479" s="5">
        <v>1</v>
      </c>
      <c r="BF479" s="6" t="s">
        <v>68</v>
      </c>
      <c r="BG479" s="6"/>
      <c r="BH479" s="5"/>
      <c r="BI479" s="5"/>
      <c r="BJ479" s="6"/>
      <c r="BK479" s="5" t="s">
        <v>1</v>
      </c>
      <c r="BL479" s="5">
        <v>0</v>
      </c>
      <c r="BM479" s="5" t="b">
        <v>0</v>
      </c>
      <c r="BP479" s="8" t="s">
        <v>1323</v>
      </c>
      <c r="BR479" s="8" t="s">
        <v>1479</v>
      </c>
      <c r="BW479" s="8" t="b">
        <v>1</v>
      </c>
      <c r="CL479" s="77" t="str">
        <f t="shared" si="14"/>
        <v>VerseTextvtx</v>
      </c>
    </row>
    <row r="480" spans="1:90">
      <c r="A480" s="76" t="str">
        <f t="shared" si="15"/>
        <v>Volume Number (voln)</v>
      </c>
      <c r="B480" s="5"/>
      <c r="C480" s="5" t="s">
        <v>940</v>
      </c>
      <c r="D480" s="5" t="s">
        <v>1400</v>
      </c>
      <c r="E480" s="5" t="s">
        <v>334</v>
      </c>
      <c r="F480" s="5">
        <v>1</v>
      </c>
      <c r="G480" s="5" t="b">
        <v>0</v>
      </c>
      <c r="H480" s="5">
        <v>1</v>
      </c>
      <c r="I480" s="5" t="s">
        <v>2</v>
      </c>
      <c r="J480" s="5">
        <v>18</v>
      </c>
      <c r="K480" s="5" t="b">
        <v>0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 t="b">
        <v>0</v>
      </c>
      <c r="Y480" s="5" t="b">
        <v>0</v>
      </c>
      <c r="Z480" s="5" t="b">
        <v>0</v>
      </c>
      <c r="AA480" s="5">
        <v>0</v>
      </c>
      <c r="AB480" s="5">
        <v>0</v>
      </c>
      <c r="AC480" s="5">
        <v>0</v>
      </c>
      <c r="AD480" s="5">
        <v>18</v>
      </c>
      <c r="AE480" s="5">
        <v>2</v>
      </c>
      <c r="AF480" s="5">
        <v>24</v>
      </c>
      <c r="AG480" s="5">
        <v>1</v>
      </c>
      <c r="AH480" s="5">
        <v>0</v>
      </c>
      <c r="AI480" s="5">
        <v>10</v>
      </c>
      <c r="AJ480" s="5" t="b">
        <v>0</v>
      </c>
      <c r="AK480" s="5" t="b">
        <v>0</v>
      </c>
      <c r="AL480" s="5" t="b">
        <v>0</v>
      </c>
      <c r="AM480" s="6" t="s">
        <v>68</v>
      </c>
      <c r="AN480" s="5">
        <v>0</v>
      </c>
      <c r="AO480" s="5">
        <v>6</v>
      </c>
      <c r="AP480" s="5" t="b">
        <v>1</v>
      </c>
      <c r="AQ480" s="28" t="s">
        <v>137</v>
      </c>
      <c r="AR480" s="5">
        <v>15</v>
      </c>
      <c r="AS480" s="5">
        <v>36</v>
      </c>
      <c r="AT480" s="5" t="b">
        <v>0</v>
      </c>
      <c r="AU480" s="6" t="s">
        <v>68</v>
      </c>
      <c r="AV480" s="5">
        <v>0</v>
      </c>
      <c r="AW480" s="5">
        <v>6</v>
      </c>
      <c r="AX480" s="5" t="b">
        <v>0</v>
      </c>
      <c r="AY480" s="6" t="s">
        <v>68</v>
      </c>
      <c r="AZ480" s="5">
        <v>0</v>
      </c>
      <c r="BA480" s="5">
        <v>6</v>
      </c>
      <c r="BB480" s="5">
        <v>4</v>
      </c>
      <c r="BC480" s="5">
        <v>4</v>
      </c>
      <c r="BD480" s="5">
        <v>1</v>
      </c>
      <c r="BE480" s="5">
        <v>1</v>
      </c>
      <c r="BF480" s="6" t="s">
        <v>68</v>
      </c>
      <c r="BG480" s="6"/>
      <c r="BH480" s="5"/>
      <c r="BI480" s="5"/>
      <c r="BJ480" s="6"/>
      <c r="BK480" s="5" t="s">
        <v>1</v>
      </c>
      <c r="BL480" s="5">
        <v>0</v>
      </c>
      <c r="BM480" s="5" t="b">
        <v>0</v>
      </c>
      <c r="BN480" s="8" t="s">
        <v>1171</v>
      </c>
      <c r="BT480" s="8" t="b">
        <v>1</v>
      </c>
      <c r="CL480" s="77" t="str">
        <f t="shared" si="14"/>
        <v>VolumeNumbervoln</v>
      </c>
    </row>
    <row r="481" spans="1:90">
      <c r="A481" s="76" t="str">
        <f t="shared" si="15"/>
        <v>Volume Title (volt)</v>
      </c>
      <c r="B481" s="5"/>
      <c r="C481" s="5" t="s">
        <v>941</v>
      </c>
      <c r="D481" s="5" t="s">
        <v>1401</v>
      </c>
      <c r="E481" s="5" t="s">
        <v>334</v>
      </c>
      <c r="F481" s="5">
        <v>1</v>
      </c>
      <c r="G481" s="5" t="b">
        <v>0</v>
      </c>
      <c r="H481" s="5">
        <v>1</v>
      </c>
      <c r="I481" s="5" t="s">
        <v>74</v>
      </c>
      <c r="J481" s="5">
        <v>18</v>
      </c>
      <c r="K481" s="5" t="b">
        <v>0</v>
      </c>
      <c r="L481" s="5" t="b">
        <v>0</v>
      </c>
      <c r="M481" s="6" t="s">
        <v>68</v>
      </c>
      <c r="N481" s="5" t="b">
        <v>0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0</v>
      </c>
      <c r="T481" s="5" t="b">
        <v>0</v>
      </c>
      <c r="U481" s="5" t="b">
        <v>0</v>
      </c>
      <c r="V481" s="5" t="b">
        <v>0</v>
      </c>
      <c r="W481" s="5"/>
      <c r="X481" s="5" t="b">
        <v>0</v>
      </c>
      <c r="Y481" s="5" t="b">
        <v>0</v>
      </c>
      <c r="Z481" s="5" t="b">
        <v>0</v>
      </c>
      <c r="AA481" s="5">
        <v>0</v>
      </c>
      <c r="AB481" s="5">
        <v>0</v>
      </c>
      <c r="AC481" s="5">
        <v>0</v>
      </c>
      <c r="AD481" s="5">
        <v>0</v>
      </c>
      <c r="AE481" s="5">
        <v>2</v>
      </c>
      <c r="AF481" s="5">
        <v>24</v>
      </c>
      <c r="AG481" s="5">
        <v>1</v>
      </c>
      <c r="AH481" s="5">
        <v>0</v>
      </c>
      <c r="AI481" s="5">
        <v>10</v>
      </c>
      <c r="AJ481" s="5" t="b">
        <v>0</v>
      </c>
      <c r="AK481" s="5" t="b">
        <v>0</v>
      </c>
      <c r="AL481" s="5" t="b">
        <v>0</v>
      </c>
      <c r="AM481" s="6" t="s">
        <v>68</v>
      </c>
      <c r="AN481" s="5">
        <v>0</v>
      </c>
      <c r="AO481" s="5">
        <v>6</v>
      </c>
      <c r="AP481" s="5" t="b">
        <v>1</v>
      </c>
      <c r="AQ481" s="28" t="s">
        <v>137</v>
      </c>
      <c r="AR481" s="5">
        <v>16</v>
      </c>
      <c r="AS481" s="5">
        <v>36</v>
      </c>
      <c r="AT481" s="5" t="b">
        <v>0</v>
      </c>
      <c r="AU481" s="6" t="s">
        <v>68</v>
      </c>
      <c r="AV481" s="5">
        <v>0</v>
      </c>
      <c r="AW481" s="5">
        <v>6</v>
      </c>
      <c r="AX481" s="5" t="b">
        <v>0</v>
      </c>
      <c r="AY481" s="6" t="s">
        <v>68</v>
      </c>
      <c r="AZ481" s="5">
        <v>0</v>
      </c>
      <c r="BA481" s="5">
        <v>6</v>
      </c>
      <c r="BB481" s="5">
        <v>4</v>
      </c>
      <c r="BC481" s="5">
        <v>4</v>
      </c>
      <c r="BD481" s="5">
        <v>1</v>
      </c>
      <c r="BE481" s="5">
        <v>1</v>
      </c>
      <c r="BF481" s="6" t="s">
        <v>68</v>
      </c>
      <c r="BG481" s="6"/>
      <c r="BH481" s="5"/>
      <c r="BI481" s="5"/>
      <c r="BJ481" s="6"/>
      <c r="BK481" s="5" t="s">
        <v>1</v>
      </c>
      <c r="BL481" s="5">
        <v>0</v>
      </c>
      <c r="BM481" s="5" t="b">
        <v>0</v>
      </c>
      <c r="BN481" s="8" t="s">
        <v>1171</v>
      </c>
      <c r="BT481" s="8" t="b">
        <v>1</v>
      </c>
      <c r="CL481" s="77" t="str">
        <f t="shared" si="14"/>
        <v>VolumeTitlevolt</v>
      </c>
    </row>
    <row r="482" spans="1:90">
      <c r="A482" s="76" t="str">
        <f t="shared" si="15"/>
        <v/>
      </c>
      <c r="CL482" s="77" t="str">
        <f t="shared" si="14"/>
        <v/>
      </c>
    </row>
    <row r="483" spans="1:90">
      <c r="A483" s="76" t="str">
        <f t="shared" si="15"/>
        <v/>
      </c>
      <c r="CL483" s="77" t="str">
        <f t="shared" si="14"/>
        <v/>
      </c>
    </row>
    <row r="484" spans="1:90">
      <c r="A484" s="76" t="str">
        <f t="shared" si="15"/>
        <v/>
      </c>
      <c r="CL484" s="77" t="str">
        <f t="shared" si="14"/>
        <v/>
      </c>
    </row>
    <row r="485" spans="1:90">
      <c r="A485" s="76" t="str">
        <f t="shared" si="15"/>
        <v/>
      </c>
      <c r="CL485" s="77" t="str">
        <f t="shared" si="14"/>
        <v/>
      </c>
    </row>
    <row r="486" spans="1:90">
      <c r="A486" s="76" t="str">
        <f t="shared" si="15"/>
        <v/>
      </c>
      <c r="CL486" s="77" t="str">
        <f t="shared" si="14"/>
        <v/>
      </c>
    </row>
    <row r="487" spans="1:90">
      <c r="A487" s="76" t="str">
        <f t="shared" si="15"/>
        <v/>
      </c>
      <c r="CL487" s="77" t="str">
        <f t="shared" si="14"/>
        <v/>
      </c>
    </row>
    <row r="488" spans="1:90">
      <c r="A488" s="76" t="str">
        <f t="shared" si="15"/>
        <v/>
      </c>
      <c r="CL488" s="77" t="str">
        <f t="shared" si="14"/>
        <v/>
      </c>
    </row>
    <row r="489" spans="1:90">
      <c r="A489" s="76" t="str">
        <f t="shared" si="15"/>
        <v/>
      </c>
      <c r="CL489" s="77" t="str">
        <f t="shared" si="14"/>
        <v/>
      </c>
    </row>
    <row r="490" spans="1:90">
      <c r="A490" s="76" t="str">
        <f t="shared" si="15"/>
        <v/>
      </c>
      <c r="CL490" s="77" t="str">
        <f t="shared" si="14"/>
        <v/>
      </c>
    </row>
    <row r="491" spans="1:90">
      <c r="A491" s="76" t="str">
        <f t="shared" si="15"/>
        <v/>
      </c>
      <c r="CL491" s="77" t="str">
        <f t="shared" si="14"/>
        <v/>
      </c>
    </row>
    <row r="492" spans="1:90">
      <c r="A492" s="76" t="str">
        <f t="shared" si="15"/>
        <v/>
      </c>
      <c r="CL492" s="77" t="str">
        <f t="shared" si="14"/>
        <v/>
      </c>
    </row>
    <row r="493" spans="1:90">
      <c r="A493" s="76" t="str">
        <f t="shared" si="15"/>
        <v/>
      </c>
      <c r="CL493" s="77" t="str">
        <f t="shared" si="14"/>
        <v/>
      </c>
    </row>
    <row r="494" spans="1:90">
      <c r="A494" s="76" t="str">
        <f t="shared" si="15"/>
        <v/>
      </c>
      <c r="CL494" s="77" t="str">
        <f t="shared" si="14"/>
        <v/>
      </c>
    </row>
    <row r="495" spans="1:90">
      <c r="A495" s="76" t="str">
        <f t="shared" si="15"/>
        <v/>
      </c>
      <c r="CL495" s="77" t="str">
        <f t="shared" si="14"/>
        <v/>
      </c>
    </row>
    <row r="496" spans="1:90">
      <c r="A496" s="76" t="str">
        <f t="shared" si="15"/>
        <v/>
      </c>
      <c r="CL496" s="77" t="str">
        <f t="shared" si="14"/>
        <v/>
      </c>
    </row>
    <row r="497" spans="1:90">
      <c r="A497" s="76" t="str">
        <f t="shared" si="15"/>
        <v/>
      </c>
      <c r="CL497" s="77" t="str">
        <f t="shared" si="14"/>
        <v/>
      </c>
    </row>
    <row r="498" spans="1:90">
      <c r="A498" s="76" t="str">
        <f t="shared" si="15"/>
        <v/>
      </c>
      <c r="CL498" s="77" t="str">
        <f t="shared" si="14"/>
        <v/>
      </c>
    </row>
    <row r="499" spans="1:90">
      <c r="A499" s="76" t="str">
        <f t="shared" si="15"/>
        <v/>
      </c>
      <c r="CL499" s="77" t="str">
        <f t="shared" si="14"/>
        <v/>
      </c>
    </row>
    <row r="500" spans="1:90">
      <c r="A500" s="76" t="str">
        <f t="shared" si="15"/>
        <v/>
      </c>
      <c r="CL500" s="77" t="str">
        <f t="shared" si="14"/>
        <v/>
      </c>
    </row>
    <row r="501" spans="1:90">
      <c r="A501" s="76" t="str">
        <f t="shared" si="15"/>
        <v/>
      </c>
      <c r="CL501" s="77" t="str">
        <f t="shared" si="14"/>
        <v/>
      </c>
    </row>
    <row r="502" spans="1:90">
      <c r="A502" s="76" t="str">
        <f t="shared" si="15"/>
        <v/>
      </c>
      <c r="CL502" s="77" t="str">
        <f t="shared" si="14"/>
        <v/>
      </c>
    </row>
    <row r="503" spans="1:90">
      <c r="A503" s="76" t="str">
        <f t="shared" si="15"/>
        <v/>
      </c>
      <c r="CL503" s="77" t="str">
        <f t="shared" si="14"/>
        <v/>
      </c>
    </row>
    <row r="504" spans="1:90">
      <c r="A504" s="76" t="str">
        <f t="shared" si="15"/>
        <v/>
      </c>
      <c r="CL504" s="77" t="str">
        <f t="shared" si="14"/>
        <v/>
      </c>
    </row>
    <row r="505" spans="1:90">
      <c r="A505" s="76" t="str">
        <f t="shared" si="15"/>
        <v/>
      </c>
      <c r="CL505" s="77" t="str">
        <f t="shared" si="14"/>
        <v/>
      </c>
    </row>
    <row r="506" spans="1:90">
      <c r="A506" s="76" t="str">
        <f t="shared" si="15"/>
        <v/>
      </c>
      <c r="CL506" s="77" t="str">
        <f t="shared" si="14"/>
        <v/>
      </c>
    </row>
    <row r="507" spans="1:90">
      <c r="A507" s="76" t="str">
        <f t="shared" si="15"/>
        <v/>
      </c>
      <c r="CL507" s="77" t="str">
        <f t="shared" si="14"/>
        <v/>
      </c>
    </row>
    <row r="508" spans="1:90">
      <c r="A508" s="76" t="str">
        <f t="shared" si="15"/>
        <v/>
      </c>
      <c r="CL508" s="77" t="str">
        <f t="shared" si="14"/>
        <v/>
      </c>
    </row>
    <row r="509" spans="1:90">
      <c r="A509" s="76" t="str">
        <f t="shared" si="15"/>
        <v/>
      </c>
      <c r="CL509" s="77" t="str">
        <f t="shared" si="14"/>
        <v/>
      </c>
    </row>
    <row r="510" spans="1:90">
      <c r="A510" s="76" t="str">
        <f t="shared" si="15"/>
        <v/>
      </c>
      <c r="CL510" s="77" t="str">
        <f t="shared" si="14"/>
        <v/>
      </c>
    </row>
    <row r="511" spans="1:90">
      <c r="A511" s="76" t="str">
        <f t="shared" si="15"/>
        <v/>
      </c>
      <c r="CL511" s="77" t="str">
        <f t="shared" si="14"/>
        <v/>
      </c>
    </row>
    <row r="512" spans="1:90">
      <c r="A512" s="76" t="str">
        <f t="shared" si="15"/>
        <v/>
      </c>
      <c r="CL512" s="77" t="str">
        <f t="shared" si="14"/>
        <v/>
      </c>
    </row>
    <row r="513" spans="1:90">
      <c r="A513" s="76" t="str">
        <f t="shared" si="15"/>
        <v/>
      </c>
      <c r="CL513" s="77" t="str">
        <f t="shared" si="14"/>
        <v/>
      </c>
    </row>
    <row r="514" spans="1:90">
      <c r="A514" s="76" t="str">
        <f t="shared" si="15"/>
        <v/>
      </c>
      <c r="CL514" s="77" t="str">
        <f t="shared" ref="CL514:CL518" si="16">SUBSTITUTE(SUBSTITUTE(SUBSTITUTE(SUBSTITUTE(A514, "(",""),")","")," ",""),"#","")</f>
        <v/>
      </c>
    </row>
    <row r="515" spans="1:90">
      <c r="A515" s="76" t="str">
        <f t="shared" ref="A515:A518" si="17">IF($D515="","",TRIM($C515)&amp;" "&amp;CHAR(40)&amp;TRIM($D515)&amp;CHAR(41))</f>
        <v/>
      </c>
      <c r="CL515" s="77" t="str">
        <f t="shared" si="16"/>
        <v/>
      </c>
    </row>
    <row r="516" spans="1:90">
      <c r="A516" s="76" t="str">
        <f t="shared" si="17"/>
        <v/>
      </c>
      <c r="CL516" s="77" t="str">
        <f t="shared" si="16"/>
        <v/>
      </c>
    </row>
    <row r="517" spans="1:90">
      <c r="A517" s="76" t="str">
        <f t="shared" si="17"/>
        <v/>
      </c>
      <c r="CL517" s="77" t="str">
        <f t="shared" si="16"/>
        <v/>
      </c>
    </row>
    <row r="518" spans="1:90">
      <c r="A518" s="76" t="str">
        <f t="shared" si="17"/>
        <v/>
      </c>
      <c r="CL518" s="77" t="str">
        <f t="shared" si="16"/>
        <v/>
      </c>
    </row>
    <row r="519" spans="1:90">
      <c r="A519" s="76"/>
      <c r="CL519" s="77"/>
    </row>
    <row r="520" spans="1:90">
      <c r="A520" s="76"/>
      <c r="CL520" s="77"/>
    </row>
    <row r="521" spans="1:90">
      <c r="A521" s="76"/>
      <c r="CL521" s="77"/>
    </row>
    <row r="522" spans="1:90">
      <c r="A522" s="76"/>
      <c r="CL522" s="77"/>
    </row>
    <row r="523" spans="1:90">
      <c r="A523" s="76"/>
      <c r="CL523" s="77"/>
    </row>
    <row r="524" spans="1:90">
      <c r="A524" s="76"/>
      <c r="CL524" s="77"/>
    </row>
    <row r="525" spans="1:90">
      <c r="A525" s="76"/>
      <c r="CL525" s="77"/>
    </row>
    <row r="526" spans="1:90">
      <c r="A526" s="76"/>
      <c r="CL526" s="77"/>
    </row>
    <row r="527" spans="1:90">
      <c r="A527" s="76"/>
      <c r="CL527" s="77"/>
    </row>
    <row r="528" spans="1:90">
      <c r="A528" s="76"/>
      <c r="CL528" s="77"/>
    </row>
    <row r="529" spans="1:90">
      <c r="A529" s="76"/>
      <c r="CL529" s="77"/>
    </row>
    <row r="530" spans="1:90">
      <c r="A530" s="76"/>
      <c r="CL530" s="77"/>
    </row>
    <row r="531" spans="1:90">
      <c r="A531" s="76"/>
      <c r="CL531" s="77"/>
    </row>
    <row r="532" spans="1:90">
      <c r="A532" s="76"/>
      <c r="CL532" s="77"/>
    </row>
    <row r="533" spans="1:90">
      <c r="A533" s="76"/>
      <c r="CL533" s="77"/>
    </row>
    <row r="534" spans="1:90">
      <c r="A534" s="76"/>
      <c r="CL534" s="77"/>
    </row>
    <row r="535" spans="1:90">
      <c r="A535" s="76"/>
      <c r="CL535" s="77"/>
    </row>
    <row r="536" spans="1:90">
      <c r="A536" s="76"/>
      <c r="CL536" s="77"/>
    </row>
    <row r="537" spans="1:90">
      <c r="A537" s="76"/>
      <c r="CL537" s="77"/>
    </row>
    <row r="538" spans="1:90">
      <c r="A538" s="76"/>
      <c r="CL538" s="77"/>
    </row>
    <row r="539" spans="1:90">
      <c r="A539" s="76"/>
      <c r="CL539" s="77"/>
    </row>
    <row r="540" spans="1:90">
      <c r="A540" s="76"/>
      <c r="CL540" s="77"/>
    </row>
    <row r="541" spans="1:90">
      <c r="A541" s="76"/>
      <c r="CL541" s="77"/>
    </row>
    <row r="542" spans="1:90">
      <c r="A542" s="76"/>
      <c r="CL542" s="77"/>
    </row>
    <row r="543" spans="1:90">
      <c r="A543" s="76"/>
      <c r="CL543" s="77"/>
    </row>
    <row r="544" spans="1:90">
      <c r="A544" s="76"/>
      <c r="CL544" s="77"/>
    </row>
    <row r="545" spans="1:90">
      <c r="A545" s="76"/>
      <c r="CL545" s="77"/>
    </row>
    <row r="546" spans="1:90">
      <c r="A546" s="76"/>
      <c r="CL546" s="77"/>
    </row>
    <row r="547" spans="1:90">
      <c r="A547" s="76"/>
      <c r="CL547" s="77"/>
    </row>
    <row r="548" spans="1:90">
      <c r="A548" s="76"/>
      <c r="CL548" s="77"/>
    </row>
  </sheetData>
  <sheetProtection sheet="1" objects="1" scenarios="1" formatCells="0" formatColumns="0" formatRows="0" insertColumns="0" insertRows="0" deleteColumns="0" deleteRows="0" sort="0" autoFilter="0"/>
  <mergeCells count="10">
    <mergeCell ref="BN1:CM1"/>
    <mergeCell ref="BG1:BJ1"/>
    <mergeCell ref="BK1:BM1"/>
    <mergeCell ref="S2:W2"/>
    <mergeCell ref="B1:D1"/>
    <mergeCell ref="E1:H1"/>
    <mergeCell ref="I1:R1"/>
    <mergeCell ref="S1:W1"/>
    <mergeCell ref="X1:AK1"/>
    <mergeCell ref="C2:D2"/>
  </mergeCells>
  <dataValidations count="10">
    <dataValidation type="list" allowBlank="1" showInputMessage="1" showErrorMessage="1" sqref="E4:E648">
      <formula1>$A$4:$A$548</formula1>
    </dataValidation>
    <dataValidation type="whole" allowBlank="1" showInputMessage="1" showErrorMessage="1" sqref="H4:H648">
      <formula1>1</formula1>
      <formula2>2</formula2>
    </dataValidation>
    <dataValidation type="decimal" operator="greaterThanOrEqual" allowBlank="1" showInputMessage="1" showErrorMessage="1" sqref="J4:J648 AA4:AD648 AF4:AF648 AH4:AH648 BB4:BE648">
      <formula1>0</formula1>
    </dataValidation>
    <dataValidation type="whole" allowBlank="1" showInputMessage="1" showErrorMessage="1" sqref="AI4:AI648">
      <formula1>1</formula1>
      <formula2>10</formula2>
    </dataValidation>
    <dataValidation type="whole" allowBlank="1" showInputMessage="1" showErrorMessage="1" sqref="AN4:AN648 AR4:AR648 AV4:AV648 AZ4:AZ648 BH4:BH648">
      <formula1>0</formula1>
      <formula2>24</formula2>
    </dataValidation>
    <dataValidation type="whole" allowBlank="1" showInputMessage="1" showErrorMessage="1" sqref="AG4:AG648">
      <formula1>0</formula1>
      <formula2>9</formula2>
    </dataValidation>
    <dataValidation type="whole" allowBlank="1" showInputMessage="1" showErrorMessage="1" sqref="AE4:AE648">
      <formula1>0</formula1>
      <formula2>5</formula2>
    </dataValidation>
    <dataValidation type="decimal" operator="greaterThanOrEqual" allowBlank="1" showInputMessage="1" showErrorMessage="1" sqref="F4:F648">
      <formula1>1</formula1>
    </dataValidation>
    <dataValidation type="whole" allowBlank="1" showInputMessage="1" showErrorMessage="1" sqref="BL4:BL648">
      <formula1>0</formula1>
      <formula2>0</formula2>
    </dataValidation>
    <dataValidation type="custom" allowBlank="1" showInputMessage="1" showErrorMessage="1" sqref="C4:D648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/>
  <tableParts count="1">
    <tablePart r:id="rId2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validation_menus!$A$2:$A$3</xm:f>
          </x14:formula1>
          <xm:sqref>G4:G648 K4:L648 N4:R648 X4:Z648 AJ4:AK648 AP4:AP648 BM4:BM648</xm:sqref>
        </x14:dataValidation>
        <x14:dataValidation type="list" allowBlank="1" showInputMessage="1" showErrorMessage="1">
          <x14:formula1>
            <xm:f>validation_menus!$A$2:$A$3</xm:f>
          </x14:formula1>
          <xm:sqref>BS4:CI648</xm:sqref>
        </x14:dataValidation>
        <x14:dataValidation type="list" allowBlank="1" showInputMessage="1" showErrorMessage="1">
          <x14:formula1>
            <xm:f>validation_menus!$A$2:$A$3</xm:f>
          </x14:formula1>
          <xm:sqref>S4:V648</xm:sqref>
        </x14:dataValidation>
        <x14:dataValidation type="list" allowBlank="1" showInputMessage="1" showErrorMessage="1">
          <x14:formula1>
            <xm:f>validation_menus!$B$2:$B$10</xm:f>
          </x14:formula1>
          <xm:sqref>AO4:AO648 AS4:AS648 AW4:AW648 BA4:BA648 BI4:BI648</xm:sqref>
        </x14:dataValidation>
        <x14:dataValidation type="list" allowBlank="1" showInputMessage="1" showErrorMessage="1">
          <x14:formula1>
            <xm:f>validation_menus!$C$2:$C$3</xm:f>
          </x14:formula1>
          <xm:sqref>BK4:BK648</xm:sqref>
        </x14:dataValidation>
        <x14:dataValidation type="list" allowBlank="1" showInputMessage="1" showErrorMessage="1">
          <x14:formula1>
            <xm:f>validation_menus!$E$2:$E$8</xm:f>
          </x14:formula1>
          <xm:sqref>I4:I648</xm:sqref>
        </x14:dataValidation>
        <x14:dataValidation type="list" allowBlank="1" showInputMessage="1" showErrorMessage="1">
          <x14:formula1>
            <xm:f>validation_menus!$D$2:$D$95</xm:f>
          </x14:formula1>
          <xm:sqref>W4:W648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F95"/>
  <sheetViews>
    <sheetView workbookViewId="0">
      <selection activeCell="C20" sqref="C20"/>
    </sheetView>
  </sheetViews>
  <sheetFormatPr baseColWidth="10" defaultColWidth="11" defaultRowHeight="15" x14ac:dyDescent="0"/>
  <cols>
    <col min="2" max="2" width="15" bestFit="1" customWidth="1"/>
    <col min="3" max="3" width="13.33203125" customWidth="1"/>
  </cols>
  <sheetData>
    <row r="1" spans="1:6">
      <c r="A1" t="s">
        <v>394</v>
      </c>
      <c r="B1" t="s">
        <v>392</v>
      </c>
      <c r="C1" t="s">
        <v>393</v>
      </c>
      <c r="D1" t="s">
        <v>391</v>
      </c>
      <c r="E1" t="s">
        <v>942</v>
      </c>
    </row>
    <row r="2" spans="1:6">
      <c r="A2" t="b">
        <v>1</v>
      </c>
      <c r="B2">
        <v>2</v>
      </c>
      <c r="C2" t="s">
        <v>1</v>
      </c>
      <c r="D2" t="s">
        <v>395</v>
      </c>
      <c r="E2" s="75" t="s">
        <v>2</v>
      </c>
    </row>
    <row r="3" spans="1:6">
      <c r="A3" t="b">
        <v>0</v>
      </c>
      <c r="B3">
        <v>4</v>
      </c>
      <c r="C3" t="s">
        <v>101</v>
      </c>
      <c r="D3" t="s">
        <v>396</v>
      </c>
      <c r="E3" s="75" t="s">
        <v>4</v>
      </c>
    </row>
    <row r="4" spans="1:6">
      <c r="B4">
        <v>6</v>
      </c>
      <c r="D4" t="s">
        <v>397</v>
      </c>
      <c r="E4" s="75" t="s">
        <v>84</v>
      </c>
    </row>
    <row r="5" spans="1:6">
      <c r="B5">
        <v>8</v>
      </c>
      <c r="D5" t="s">
        <v>398</v>
      </c>
      <c r="E5" s="75" t="s">
        <v>102</v>
      </c>
    </row>
    <row r="6" spans="1:6">
      <c r="B6">
        <v>12</v>
      </c>
      <c r="D6" t="s">
        <v>399</v>
      </c>
      <c r="E6" s="75" t="s">
        <v>130</v>
      </c>
    </row>
    <row r="7" spans="1:6">
      <c r="B7">
        <v>18</v>
      </c>
      <c r="D7" t="s">
        <v>400</v>
      </c>
      <c r="E7" s="75" t="s">
        <v>144</v>
      </c>
      <c r="F7" s="75"/>
    </row>
    <row r="8" spans="1:6">
      <c r="B8">
        <v>24</v>
      </c>
      <c r="D8" t="s">
        <v>401</v>
      </c>
      <c r="E8" s="75" t="s">
        <v>74</v>
      </c>
    </row>
    <row r="9" spans="1:6">
      <c r="B9">
        <v>36</v>
      </c>
      <c r="D9" t="s">
        <v>402</v>
      </c>
      <c r="E9" s="75"/>
    </row>
    <row r="10" spans="1:6">
      <c r="B10">
        <v>48</v>
      </c>
      <c r="D10" t="s">
        <v>403</v>
      </c>
      <c r="E10" s="75"/>
    </row>
    <row r="11" spans="1:6" ht="17">
      <c r="A11" s="1"/>
      <c r="D11" t="s">
        <v>404</v>
      </c>
      <c r="E11" s="75"/>
    </row>
    <row r="12" spans="1:6" ht="17">
      <c r="A12" s="1"/>
      <c r="D12" t="s">
        <v>405</v>
      </c>
      <c r="E12" s="75"/>
    </row>
    <row r="13" spans="1:6">
      <c r="D13" t="s">
        <v>406</v>
      </c>
      <c r="E13" s="75"/>
    </row>
    <row r="14" spans="1:6">
      <c r="D14" t="s">
        <v>407</v>
      </c>
      <c r="E14" s="75"/>
    </row>
    <row r="15" spans="1:6">
      <c r="D15" t="s">
        <v>408</v>
      </c>
      <c r="E15" s="75"/>
    </row>
    <row r="16" spans="1:6" ht="17">
      <c r="A16" s="2"/>
      <c r="D16" t="s">
        <v>409</v>
      </c>
      <c r="E16" s="75"/>
    </row>
    <row r="17" spans="4:5">
      <c r="D17" t="s">
        <v>410</v>
      </c>
      <c r="E17" s="75"/>
    </row>
    <row r="18" spans="4:5">
      <c r="D18" t="s">
        <v>411</v>
      </c>
      <c r="E18" s="75"/>
    </row>
    <row r="19" spans="4:5">
      <c r="D19" t="s">
        <v>412</v>
      </c>
      <c r="E19" s="75"/>
    </row>
    <row r="20" spans="4:5">
      <c r="D20" t="s">
        <v>413</v>
      </c>
      <c r="E20" s="75"/>
    </row>
    <row r="21" spans="4:5">
      <c r="D21" t="s">
        <v>414</v>
      </c>
      <c r="E21" s="75"/>
    </row>
    <row r="22" spans="4:5">
      <c r="D22" t="s">
        <v>415</v>
      </c>
      <c r="E22" s="75"/>
    </row>
    <row r="23" spans="4:5">
      <c r="D23" t="s">
        <v>416</v>
      </c>
      <c r="E23" s="75"/>
    </row>
    <row r="24" spans="4:5">
      <c r="D24" t="s">
        <v>417</v>
      </c>
      <c r="E24" s="75"/>
    </row>
    <row r="25" spans="4:5">
      <c r="D25" t="s">
        <v>418</v>
      </c>
      <c r="E25" s="75"/>
    </row>
    <row r="26" spans="4:5">
      <c r="D26" t="s">
        <v>419</v>
      </c>
      <c r="E26" s="75"/>
    </row>
    <row r="27" spans="4:5">
      <c r="D27" t="s">
        <v>420</v>
      </c>
      <c r="E27" s="75"/>
    </row>
    <row r="28" spans="4:5">
      <c r="D28" t="s">
        <v>421</v>
      </c>
      <c r="E28" s="75"/>
    </row>
    <row r="29" spans="4:5">
      <c r="D29" t="s">
        <v>422</v>
      </c>
    </row>
    <row r="30" spans="4:5">
      <c r="D30" t="s">
        <v>423</v>
      </c>
    </row>
    <row r="31" spans="4:5">
      <c r="D31" t="s">
        <v>424</v>
      </c>
    </row>
    <row r="32" spans="4:5">
      <c r="D32" t="s">
        <v>425</v>
      </c>
    </row>
    <row r="33" spans="4:4">
      <c r="D33" t="s">
        <v>426</v>
      </c>
    </row>
    <row r="34" spans="4:4">
      <c r="D34" t="s">
        <v>427</v>
      </c>
    </row>
    <row r="35" spans="4:4">
      <c r="D35" t="s">
        <v>428</v>
      </c>
    </row>
    <row r="36" spans="4:4">
      <c r="D36" t="s">
        <v>429</v>
      </c>
    </row>
    <row r="37" spans="4:4">
      <c r="D37" t="s">
        <v>430</v>
      </c>
    </row>
    <row r="38" spans="4:4">
      <c r="D38" t="s">
        <v>431</v>
      </c>
    </row>
    <row r="39" spans="4:4">
      <c r="D39" t="s">
        <v>432</v>
      </c>
    </row>
    <row r="40" spans="4:4">
      <c r="D40" t="s">
        <v>433</v>
      </c>
    </row>
    <row r="41" spans="4:4">
      <c r="D41" t="s">
        <v>434</v>
      </c>
    </row>
    <row r="42" spans="4:4">
      <c r="D42" t="s">
        <v>435</v>
      </c>
    </row>
    <row r="43" spans="4:4">
      <c r="D43" t="s">
        <v>436</v>
      </c>
    </row>
    <row r="44" spans="4:4">
      <c r="D44" t="s">
        <v>437</v>
      </c>
    </row>
    <row r="45" spans="4:4">
      <c r="D45" t="s">
        <v>438</v>
      </c>
    </row>
    <row r="46" spans="4:4">
      <c r="D46" t="s">
        <v>439</v>
      </c>
    </row>
    <row r="47" spans="4:4">
      <c r="D47" t="s">
        <v>440</v>
      </c>
    </row>
    <row r="48" spans="4:4">
      <c r="D48" t="s">
        <v>441</v>
      </c>
    </row>
    <row r="49" spans="4:4">
      <c r="D49" t="s">
        <v>442</v>
      </c>
    </row>
    <row r="50" spans="4:4">
      <c r="D50" t="s">
        <v>443</v>
      </c>
    </row>
    <row r="51" spans="4:4">
      <c r="D51" t="s">
        <v>444</v>
      </c>
    </row>
    <row r="52" spans="4:4">
      <c r="D52" t="s">
        <v>445</v>
      </c>
    </row>
    <row r="53" spans="4:4">
      <c r="D53" t="s">
        <v>446</v>
      </c>
    </row>
    <row r="54" spans="4:4">
      <c r="D54" t="s">
        <v>447</v>
      </c>
    </row>
    <row r="55" spans="4:4">
      <c r="D55" t="s">
        <v>448</v>
      </c>
    </row>
    <row r="56" spans="4:4">
      <c r="D56" t="s">
        <v>449</v>
      </c>
    </row>
    <row r="57" spans="4:4">
      <c r="D57" t="s">
        <v>450</v>
      </c>
    </row>
    <row r="58" spans="4:4">
      <c r="D58" t="s">
        <v>451</v>
      </c>
    </row>
    <row r="59" spans="4:4">
      <c r="D59" t="s">
        <v>452</v>
      </c>
    </row>
    <row r="60" spans="4:4">
      <c r="D60" t="s">
        <v>453</v>
      </c>
    </row>
    <row r="61" spans="4:4">
      <c r="D61" t="s">
        <v>454</v>
      </c>
    </row>
    <row r="62" spans="4:4">
      <c r="D62" t="s">
        <v>455</v>
      </c>
    </row>
    <row r="63" spans="4:4">
      <c r="D63" t="s">
        <v>456</v>
      </c>
    </row>
    <row r="64" spans="4:4">
      <c r="D64" t="s">
        <v>457</v>
      </c>
    </row>
    <row r="65" spans="4:4">
      <c r="D65" t="s">
        <v>458</v>
      </c>
    </row>
    <row r="66" spans="4:4">
      <c r="D66" t="s">
        <v>459</v>
      </c>
    </row>
    <row r="67" spans="4:4">
      <c r="D67" t="s">
        <v>460</v>
      </c>
    </row>
    <row r="68" spans="4:4">
      <c r="D68" t="s">
        <v>461</v>
      </c>
    </row>
    <row r="69" spans="4:4">
      <c r="D69" t="s">
        <v>462</v>
      </c>
    </row>
    <row r="70" spans="4:4">
      <c r="D70" t="s">
        <v>463</v>
      </c>
    </row>
    <row r="71" spans="4:4">
      <c r="D71" t="s">
        <v>464</v>
      </c>
    </row>
    <row r="72" spans="4:4">
      <c r="D72" t="s">
        <v>465</v>
      </c>
    </row>
    <row r="73" spans="4:4">
      <c r="D73" t="s">
        <v>466</v>
      </c>
    </row>
    <row r="74" spans="4:4">
      <c r="D74" t="s">
        <v>467</v>
      </c>
    </row>
    <row r="75" spans="4:4">
      <c r="D75" t="s">
        <v>468</v>
      </c>
    </row>
    <row r="76" spans="4:4">
      <c r="D76" t="s">
        <v>469</v>
      </c>
    </row>
    <row r="77" spans="4:4">
      <c r="D77" t="s">
        <v>470</v>
      </c>
    </row>
    <row r="78" spans="4:4">
      <c r="D78" t="s">
        <v>471</v>
      </c>
    </row>
    <row r="79" spans="4:4">
      <c r="D79" t="s">
        <v>472</v>
      </c>
    </row>
    <row r="80" spans="4:4">
      <c r="D80" t="s">
        <v>473</v>
      </c>
    </row>
    <row r="81" spans="4:4">
      <c r="D81" t="s">
        <v>474</v>
      </c>
    </row>
    <row r="82" spans="4:4">
      <c r="D82" t="s">
        <v>475</v>
      </c>
    </row>
    <row r="83" spans="4:4">
      <c r="D83" t="s">
        <v>476</v>
      </c>
    </row>
    <row r="84" spans="4:4">
      <c r="D84" t="s">
        <v>477</v>
      </c>
    </row>
    <row r="85" spans="4:4">
      <c r="D85" t="s">
        <v>478</v>
      </c>
    </row>
    <row r="86" spans="4:4">
      <c r="D86" t="s">
        <v>479</v>
      </c>
    </row>
    <row r="87" spans="4:4">
      <c r="D87" t="s">
        <v>480</v>
      </c>
    </row>
    <row r="88" spans="4:4">
      <c r="D88" t="s">
        <v>481</v>
      </c>
    </row>
    <row r="89" spans="4:4">
      <c r="D89" t="s">
        <v>482</v>
      </c>
    </row>
    <row r="90" spans="4:4">
      <c r="D90" t="s">
        <v>483</v>
      </c>
    </row>
    <row r="91" spans="4:4">
      <c r="D91" t="s">
        <v>484</v>
      </c>
    </row>
    <row r="92" spans="4:4">
      <c r="D92" t="s">
        <v>485</v>
      </c>
    </row>
    <row r="93" spans="4:4">
      <c r="D93" t="s">
        <v>486</v>
      </c>
    </row>
    <row r="94" spans="4:4">
      <c r="D94" t="s">
        <v>487</v>
      </c>
    </row>
    <row r="95" spans="4:4">
      <c r="D95" t="s">
        <v>488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Retzer, Matthew</cp:lastModifiedBy>
  <dcterms:created xsi:type="dcterms:W3CDTF">2017-01-26T16:06:52Z</dcterms:created>
  <dcterms:modified xsi:type="dcterms:W3CDTF">2017-03-13T16:43:48Z</dcterms:modified>
</cp:coreProperties>
</file>
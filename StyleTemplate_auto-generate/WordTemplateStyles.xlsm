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Styles!$A$3:$CP$34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1" l="1"/>
  <c r="CO9" i="1"/>
  <c r="A4" i="1"/>
  <c r="A170" i="1"/>
  <c r="CO170" i="1"/>
  <c r="A159" i="1"/>
  <c r="CO159" i="1"/>
  <c r="A161" i="1"/>
  <c r="CO161" i="1"/>
  <c r="A126" i="1"/>
  <c r="CO126" i="1"/>
  <c r="E126" i="1"/>
  <c r="A96" i="1"/>
  <c r="CO96" i="1"/>
  <c r="E96" i="1"/>
  <c r="A181" i="1"/>
  <c r="CO181" i="1"/>
  <c r="A180" i="1"/>
  <c r="CO180" i="1"/>
  <c r="A174" i="1"/>
  <c r="CO174" i="1"/>
  <c r="E174" i="1"/>
  <c r="E170" i="1"/>
  <c r="A146" i="1"/>
  <c r="CO146" i="1"/>
  <c r="A145" i="1"/>
  <c r="CO145" i="1"/>
  <c r="A160" i="1"/>
  <c r="CO160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7" i="1"/>
  <c r="CO147" i="1"/>
  <c r="A144" i="1"/>
  <c r="CO144" i="1"/>
  <c r="A143" i="1"/>
  <c r="CO143" i="1"/>
  <c r="A142" i="1"/>
  <c r="CO142" i="1"/>
  <c r="A140" i="1"/>
  <c r="CO140" i="1"/>
  <c r="E140" i="1"/>
  <c r="A137" i="1"/>
  <c r="CO137" i="1"/>
  <c r="A128" i="1"/>
  <c r="CO128" i="1"/>
  <c r="E128" i="1"/>
  <c r="A119" i="1"/>
  <c r="CO119" i="1"/>
  <c r="A117" i="1"/>
  <c r="CO117" i="1"/>
  <c r="E117" i="1"/>
  <c r="A116" i="1"/>
  <c r="CO116" i="1"/>
  <c r="E116" i="1"/>
  <c r="A115" i="1"/>
  <c r="CO115" i="1"/>
  <c r="E115" i="1"/>
  <c r="A112" i="1"/>
  <c r="CO112" i="1"/>
  <c r="E112" i="1"/>
  <c r="A111" i="1"/>
  <c r="CO111" i="1"/>
  <c r="A108" i="1"/>
  <c r="CO108" i="1"/>
  <c r="E108" i="1"/>
  <c r="A106" i="1"/>
  <c r="CO106" i="1"/>
  <c r="E106" i="1"/>
  <c r="A104" i="1"/>
  <c r="CO104" i="1"/>
  <c r="E104" i="1"/>
  <c r="A102" i="1"/>
  <c r="CO102" i="1"/>
  <c r="E102" i="1"/>
  <c r="A100" i="1"/>
  <c r="CO100" i="1"/>
  <c r="E100" i="1"/>
  <c r="A98" i="1"/>
  <c r="CO98" i="1"/>
  <c r="E98" i="1"/>
  <c r="A94" i="1"/>
  <c r="CO94" i="1"/>
  <c r="E94" i="1"/>
  <c r="A92" i="1"/>
  <c r="CO92" i="1"/>
  <c r="E92" i="1"/>
  <c r="A90" i="1"/>
  <c r="CO90" i="1"/>
  <c r="E90" i="1"/>
  <c r="A88" i="1"/>
  <c r="CO88" i="1"/>
  <c r="E88" i="1"/>
  <c r="A86" i="1"/>
  <c r="CO86" i="1"/>
  <c r="E86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75" i="1"/>
  <c r="CO75" i="1"/>
  <c r="A64" i="1"/>
  <c r="CO64" i="1"/>
  <c r="A63" i="1"/>
  <c r="CO63" i="1"/>
  <c r="A62" i="1"/>
  <c r="CO62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51" i="1"/>
  <c r="CO51" i="1"/>
  <c r="A65" i="1"/>
  <c r="CO65" i="1"/>
  <c r="A40" i="1"/>
  <c r="CO40" i="1"/>
  <c r="A39" i="1"/>
  <c r="CO39" i="1"/>
  <c r="A21" i="1"/>
  <c r="CO21" i="1"/>
  <c r="A20" i="1"/>
  <c r="CO20" i="1"/>
  <c r="A16" i="1"/>
  <c r="CO16" i="1"/>
  <c r="A10" i="1"/>
  <c r="CO10" i="1"/>
  <c r="E185" i="1"/>
  <c r="E184" i="1"/>
  <c r="E183" i="1"/>
  <c r="E182" i="1"/>
  <c r="E179" i="1"/>
  <c r="E178" i="1"/>
  <c r="E177" i="1"/>
  <c r="E176" i="1"/>
  <c r="E175" i="1"/>
  <c r="E173" i="1"/>
  <c r="E172" i="1"/>
  <c r="E171" i="1"/>
  <c r="E169" i="1"/>
  <c r="E168" i="1"/>
  <c r="E167" i="1"/>
  <c r="E166" i="1"/>
  <c r="E165" i="1"/>
  <c r="E164" i="1"/>
  <c r="E163" i="1"/>
  <c r="E162" i="1"/>
  <c r="E139" i="1"/>
  <c r="E138" i="1"/>
  <c r="E134" i="1"/>
  <c r="E133" i="1"/>
  <c r="E132" i="1"/>
  <c r="E131" i="1"/>
  <c r="E130" i="1"/>
  <c r="E129" i="1"/>
  <c r="E127" i="1"/>
  <c r="E125" i="1"/>
  <c r="E124" i="1"/>
  <c r="E123" i="1"/>
  <c r="E113" i="1"/>
  <c r="E110" i="1"/>
  <c r="E109" i="1"/>
  <c r="E107" i="1"/>
  <c r="E105" i="1"/>
  <c r="E103" i="1"/>
  <c r="E101" i="1"/>
  <c r="E99" i="1"/>
  <c r="E97" i="1"/>
  <c r="E95" i="1"/>
  <c r="E93" i="1"/>
  <c r="E91" i="1"/>
  <c r="E89" i="1"/>
  <c r="E87" i="1"/>
  <c r="E85" i="1"/>
  <c r="E74" i="1"/>
  <c r="E73" i="1"/>
  <c r="E72" i="1"/>
  <c r="E71" i="1"/>
  <c r="E70" i="1"/>
  <c r="E69" i="1"/>
  <c r="E68" i="1"/>
  <c r="E67" i="1"/>
  <c r="A35" i="1"/>
  <c r="A36" i="1"/>
  <c r="A37" i="1"/>
  <c r="A38" i="1"/>
  <c r="A41" i="1"/>
  <c r="A42" i="1"/>
  <c r="A43" i="1"/>
  <c r="A44" i="1"/>
  <c r="A45" i="1"/>
  <c r="A46" i="1"/>
  <c r="A47" i="1"/>
  <c r="A48" i="1"/>
  <c r="A49" i="1"/>
  <c r="A50" i="1"/>
  <c r="A61" i="1"/>
  <c r="A66" i="1"/>
  <c r="A67" i="1"/>
  <c r="A68" i="1"/>
  <c r="A69" i="1"/>
  <c r="A70" i="1"/>
  <c r="A71" i="1"/>
  <c r="A72" i="1"/>
  <c r="A73" i="1"/>
  <c r="A74" i="1"/>
  <c r="A85" i="1"/>
  <c r="A87" i="1"/>
  <c r="A89" i="1"/>
  <c r="A91" i="1"/>
  <c r="A93" i="1"/>
  <c r="A95" i="1"/>
  <c r="A97" i="1"/>
  <c r="A99" i="1"/>
  <c r="A101" i="1"/>
  <c r="A103" i="1"/>
  <c r="A105" i="1"/>
  <c r="A107" i="1"/>
  <c r="A109" i="1"/>
  <c r="A110" i="1"/>
  <c r="A113" i="1"/>
  <c r="A114" i="1"/>
  <c r="A118" i="1"/>
  <c r="A120" i="1"/>
  <c r="A121" i="1"/>
  <c r="A122" i="1"/>
  <c r="A123" i="1"/>
  <c r="A124" i="1"/>
  <c r="A125" i="1"/>
  <c r="A127" i="1"/>
  <c r="A129" i="1"/>
  <c r="A130" i="1"/>
  <c r="A131" i="1"/>
  <c r="A132" i="1"/>
  <c r="A133" i="1"/>
  <c r="A134" i="1"/>
  <c r="A135" i="1"/>
  <c r="A136" i="1"/>
  <c r="A138" i="1"/>
  <c r="A139" i="1"/>
  <c r="A141" i="1"/>
  <c r="A162" i="1"/>
  <c r="A163" i="1"/>
  <c r="A164" i="1"/>
  <c r="A165" i="1"/>
  <c r="A166" i="1"/>
  <c r="A167" i="1"/>
  <c r="A168" i="1"/>
  <c r="A169" i="1"/>
  <c r="A171" i="1"/>
  <c r="A172" i="1"/>
  <c r="A173" i="1"/>
  <c r="A175" i="1"/>
  <c r="A176" i="1"/>
  <c r="A177" i="1"/>
  <c r="A178" i="1"/>
  <c r="A179" i="1"/>
  <c r="A182" i="1"/>
  <c r="A183" i="1"/>
  <c r="A184" i="1"/>
  <c r="A185" i="1"/>
  <c r="CO35" i="1"/>
  <c r="CO185" i="1"/>
  <c r="CO184" i="1"/>
  <c r="CO183" i="1"/>
  <c r="CO36" i="1"/>
  <c r="CO37" i="1"/>
  <c r="CO38" i="1"/>
  <c r="CO41" i="1"/>
  <c r="CO42" i="1"/>
  <c r="CO43" i="1"/>
  <c r="CO44" i="1"/>
  <c r="CO45" i="1"/>
  <c r="CO46" i="1"/>
  <c r="CO47" i="1"/>
  <c r="CO49" i="1"/>
  <c r="CO50" i="1"/>
  <c r="CO61" i="1"/>
  <c r="CO66" i="1"/>
  <c r="CO67" i="1"/>
  <c r="CO68" i="1"/>
  <c r="CO69" i="1"/>
  <c r="CO70" i="1"/>
  <c r="CO71" i="1"/>
  <c r="CO72" i="1"/>
  <c r="CO73" i="1"/>
  <c r="CO74" i="1"/>
  <c r="CO85" i="1"/>
  <c r="CO87" i="1"/>
  <c r="CO89" i="1"/>
  <c r="CO91" i="1"/>
  <c r="CO93" i="1"/>
  <c r="CO95" i="1"/>
  <c r="CO97" i="1"/>
  <c r="CO99" i="1"/>
  <c r="CO101" i="1"/>
  <c r="CO103" i="1"/>
  <c r="CO105" i="1"/>
  <c r="CO107" i="1"/>
  <c r="CO109" i="1"/>
  <c r="CO110" i="1"/>
  <c r="CO113" i="1"/>
  <c r="CO114" i="1"/>
  <c r="CO118" i="1"/>
  <c r="CO120" i="1"/>
  <c r="CO121" i="1"/>
  <c r="CO122" i="1"/>
  <c r="CO123" i="1"/>
  <c r="CO124" i="1"/>
  <c r="CO125" i="1"/>
  <c r="CO127" i="1"/>
  <c r="CO129" i="1"/>
  <c r="CO130" i="1"/>
  <c r="CO131" i="1"/>
  <c r="CO132" i="1"/>
  <c r="CO133" i="1"/>
  <c r="CO134" i="1"/>
  <c r="CO135" i="1"/>
  <c r="CO136" i="1"/>
  <c r="CO138" i="1"/>
  <c r="CO139" i="1"/>
  <c r="CO141" i="1"/>
  <c r="CO162" i="1"/>
  <c r="CO163" i="1"/>
  <c r="CO164" i="1"/>
  <c r="CO165" i="1"/>
  <c r="CO166" i="1"/>
  <c r="CO167" i="1"/>
  <c r="CO168" i="1"/>
  <c r="CO169" i="1"/>
  <c r="CO171" i="1"/>
  <c r="CO172" i="1"/>
  <c r="CO173" i="1"/>
  <c r="CO175" i="1"/>
  <c r="CO176" i="1"/>
  <c r="CO177" i="1"/>
  <c r="CO178" i="1"/>
  <c r="CO179" i="1"/>
  <c r="CO182" i="1"/>
  <c r="A186" i="1"/>
  <c r="A187" i="1"/>
  <c r="A188" i="1"/>
  <c r="A189" i="1"/>
  <c r="A190" i="1"/>
  <c r="A191" i="1"/>
  <c r="A192" i="1"/>
  <c r="A193" i="1"/>
  <c r="CO4" i="1"/>
  <c r="A5" i="1"/>
  <c r="CO5" i="1"/>
  <c r="A7" i="1"/>
  <c r="CO7" i="1"/>
  <c r="A6" i="1"/>
  <c r="CO6" i="1"/>
  <c r="A8" i="1"/>
  <c r="CO8" i="1"/>
  <c r="A11" i="1"/>
  <c r="CO11" i="1"/>
  <c r="A12" i="1"/>
  <c r="CO12" i="1"/>
  <c r="A13" i="1"/>
  <c r="CO13" i="1"/>
  <c r="A14" i="1"/>
  <c r="CO14" i="1"/>
  <c r="A15" i="1"/>
  <c r="CO15" i="1"/>
  <c r="A34" i="1"/>
  <c r="CO34" i="1"/>
  <c r="A17" i="1"/>
  <c r="CO17" i="1"/>
  <c r="A18" i="1"/>
  <c r="CO18" i="1"/>
  <c r="A19" i="1"/>
  <c r="CO19" i="1"/>
  <c r="A22" i="1"/>
  <c r="CO22" i="1"/>
  <c r="A25" i="1"/>
  <c r="CO25" i="1"/>
  <c r="A23" i="1"/>
  <c r="CO23" i="1"/>
  <c r="A24" i="1"/>
  <c r="CO24" i="1"/>
  <c r="A26" i="1"/>
  <c r="CO26" i="1"/>
  <c r="A30" i="1"/>
  <c r="CO30" i="1"/>
  <c r="A29" i="1"/>
  <c r="CO29" i="1"/>
  <c r="A28" i="1"/>
  <c r="CO28" i="1"/>
  <c r="A27" i="1"/>
  <c r="CO27" i="1"/>
  <c r="A31" i="1"/>
  <c r="CO31" i="1"/>
  <c r="A32" i="1"/>
  <c r="CO32" i="1"/>
  <c r="A33" i="1"/>
  <c r="CO33" i="1"/>
  <c r="CO186" i="1"/>
  <c r="CO187" i="1"/>
  <c r="CO188" i="1"/>
  <c r="CO189" i="1"/>
  <c r="CO190" i="1"/>
  <c r="CO191" i="1"/>
  <c r="CO192" i="1"/>
  <c r="CO193" i="1"/>
</calcChain>
</file>

<file path=xl/sharedStrings.xml><?xml version="1.0" encoding="utf-8"?>
<sst xmlns="http://schemas.openxmlformats.org/spreadsheetml/2006/main" count="2218" uniqueCount="715">
  <si>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</si>
  <si>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</si>
  <si>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</si>
  <si>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</si>
  <si>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</si>
  <si>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</si>
  <si>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</si>
  <si>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</si>
  <si>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</si>
  <si>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</si>
  <si>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</si>
  <si>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</si>
  <si>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</si>
  <si>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</si>
  <si>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</si>
  <si>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</si>
  <si>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</si>
  <si>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</si>
  <si>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</si>
  <si>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</si>
  <si>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</si>
  <si>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</si>
  <si>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</si>
  <si>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</si>
  <si>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</si>
  <si>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</si>
  <si>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</si>
  <si>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</si>
  <si>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</si>
  <si>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</si>
  <si>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</si>
  <si>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</si>
  <si>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</si>
  <si>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</si>
  <si>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</si>
  <si>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</si>
  <si>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</si>
  <si>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</si>
  <si>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</si>
  <si>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</si>
  <si>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</si>
  <si>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</si>
  <si>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</si>
  <si>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</si>
  <si>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</si>
  <si>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</si>
  <si>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</si>
  <si>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</si>
  <si>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</si>
  <si>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</si>
  <si>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</si>
  <si>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</si>
  <si>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</si>
  <si>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</si>
  <si>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</si>
  <si>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</si>
  <si>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</si>
  <si>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</si>
  <si>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</si>
  <si>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</si>
  <si>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</si>
  <si>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</si>
  <si>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</si>
  <si>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</si>
  <si>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</si>
  <si>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</si>
  <si>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</si>
  <si>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</si>
  <si>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</si>
  <si>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</si>
  <si>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</si>
  <si>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</si>
  <si>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</si>
  <si>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</si>
  <si>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</si>
  <si>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</si>
  <si>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</si>
  <si>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</si>
  <si>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</si>
  <si>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</si>
  <si>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</si>
  <si>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</si>
  <si>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</si>
  <si>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</si>
  <si>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</si>
  <si>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</si>
  <si>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</si>
  <si>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</si>
  <si>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</si>
  <si>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</si>
  <si>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</si>
  <si>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</si>
  <si>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</si>
  <si>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</si>
  <si>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</si>
  <si>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</si>
  <si>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</si>
  <si>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</si>
  <si>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</si>
  <si>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</si>
  <si>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</si>
  <si>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</si>
  <si>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</si>
  <si>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</si>
  <si>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</si>
  <si>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</si>
  <si>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</si>
  <si>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</si>
  <si>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</si>
  <si>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</si>
  <si>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</si>
  <si>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</si>
  <si>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</si>
  <si>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</si>
  <si>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</si>
  <si>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</si>
  <si>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</si>
  <si>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</si>
  <si>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</si>
  <si>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</si>
  <si>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</si>
  <si>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</si>
  <si>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</si>
  <si>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</si>
  <si>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</si>
  <si>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</si>
  <si>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</si>
  <si>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</si>
  <si>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</si>
  <si>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</si>
  <si>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</si>
  <si>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</si>
  <si>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</si>
  <si>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</si>
  <si>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</si>
  <si>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</si>
  <si>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</si>
  <si>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</si>
  <si>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</si>
  <si>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</si>
  <si>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</si>
  <si>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</si>
  <si>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</si>
  <si>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</si>
  <si>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</si>
  <si>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</si>
  <si>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</si>
  <si>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</si>
  <si>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</si>
  <si>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</si>
  <si>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</si>
  <si>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</si>
  <si>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</si>
  <si>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</si>
  <si>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</si>
  <si>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</si>
  <si>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</si>
  <si>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</si>
  <si>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</si>
  <si>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</si>
  <si>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</si>
  <si>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</si>
  <si>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</si>
  <si>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</si>
  <si>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</si>
  <si>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</si>
  <si>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</si>
  <si>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</si>
  <si>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</si>
  <si>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</si>
  <si>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</si>
  <si>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</si>
  <si>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</si>
  <si>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</si>
  <si>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</si>
  <si>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</si>
  <si>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</si>
  <si>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</si>
  <si>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</si>
  <si>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</si>
  <si>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</si>
  <si>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</si>
  <si>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</si>
  <si>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</si>
  <si>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</si>
  <si>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</si>
  <si>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</si>
  <si>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</si>
  <si>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</si>
  <si>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</si>
  <si>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</si>
  <si>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</si>
  <si>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</si>
  <si>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</si>
  <si>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</si>
  <si>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</si>
  <si>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</si>
  <si>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</si>
  <si>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</si>
  <si>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</si>
  <si>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</si>
  <si>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</si>
  <si>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</si>
  <si>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</si>
  <si>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</si>
  <si>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</si>
  <si>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</si>
  <si>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</si>
  <si>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</si>
  <si>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</si>
  <si>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</si>
  <si>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</si>
  <si>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</si>
  <si>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</si>
  <si>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</si>
  <si>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</si>
  <si>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</si>
  <si>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</si>
  <si>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</si>
  <si>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</si>
  <si>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</si>
  <si>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</si>
  <si>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</si>
  <si>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</si>
  <si>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</si>
  <si>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</si>
  <si>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</si>
  <si>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</si>
  <si>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</si>
  <si>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</si>
  <si>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</si>
  <si>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</si>
  <si>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</si>
  <si>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</si>
  <si>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</si>
  <si>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</si>
  <si>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</si>
  <si>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</si>
  <si>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</si>
  <si>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</si>
  <si>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</si>
  <si>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</si>
  <si>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</si>
  <si>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</si>
  <si>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</si>
  <si>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</si>
  <si>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</si>
  <si>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</si>
  <si>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</si>
  <si>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</si>
  <si>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</si>
  <si>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</si>
  <si>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</si>
  <si>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</si>
  <si>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</si>
  <si>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</si>
  <si>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</si>
  <si>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</si>
  <si>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</si>
  <si>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</si>
  <si>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</si>
  <si>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</si>
  <si>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</si>
  <si>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</si>
  <si>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</si>
  <si>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</si>
  <si>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</si>
  <si>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</si>
  <si>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</si>
  <si>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</si>
  <si>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</si>
  <si>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</si>
  <si>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</si>
  <si>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</si>
  <si>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</si>
  <si>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</si>
  <si>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</si>
  <si>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</si>
  <si>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</si>
  <si>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</si>
  <si>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</si>
  <si>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</si>
  <si>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</si>
  <si>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</si>
  <si>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</si>
  <si>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</si>
  <si>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</si>
  <si>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</si>
  <si>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</si>
  <si>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</si>
  <si>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</si>
  <si>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</si>
  <si>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</si>
  <si>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</si>
  <si>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</si>
  <si>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</si>
  <si>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</si>
  <si>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</si>
  <si>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</si>
  <si>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</si>
  <si>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</si>
  <si>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</si>
  <si>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</si>
  <si>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</si>
  <si>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</si>
  <si>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</si>
  <si>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</si>
  <si>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</si>
  <si>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</si>
  <si>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</si>
  <si>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</si>
  <si>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</si>
  <si>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</si>
  <si>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</si>
  <si>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</si>
  <si>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</si>
  <si>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</si>
  <si>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</si>
  <si>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</si>
  <si>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</si>
  <si>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</si>
  <si>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</si>
  <si>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</si>
  <si>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</si>
  <si>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</si>
  <si>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</si>
  <si>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</si>
  <si>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</si>
  <si>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</si>
  <si>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</si>
  <si>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</si>
  <si>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</si>
  <si>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</si>
  <si>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</si>
  <si>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</si>
  <si>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</si>
  <si>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</si>
  <si>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</si>
  <si>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</si>
  <si>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</si>
  <si>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</si>
  <si>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</si>
  <si>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</si>
  <si>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</si>
  <si>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</si>
  <si>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</si>
  <si>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</si>
  <si>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</si>
  <si>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</si>
  <si>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</si>
  <si>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</si>
  <si>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</si>
  <si>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</si>
  <si>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</si>
  <si>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</si>
  <si>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</si>
  <si>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</si>
  <si>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</si>
  <si>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</si>
  <si>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</si>
  <si>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</si>
  <si>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</si>
  <si>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</si>
  <si>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</si>
  <si>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</si>
  <si>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</si>
  <si>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</si>
  <si>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</si>
  <si>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</si>
  <si>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</si>
  <si>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</si>
  <si>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</si>
  <si>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</si>
  <si>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</si>
  <si>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</si>
  <si>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</si>
  <si>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</si>
  <si>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</si>
  <si>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</si>
  <si>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</si>
  <si>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</si>
  <si>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</si>
  <si>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</si>
  <si>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</si>
  <si>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</si>
  <si>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</si>
  <si>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</si>
  <si>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</si>
  <si>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</si>
  <si>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</si>
  <si>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</si>
  <si>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</si>
  <si>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</si>
  <si>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</si>
  <si>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</si>
  <si>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</si>
  <si>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Alpha--Level-2-List</t>
  </si>
  <si>
    <t>Alpha--Level-3-List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</si>
  <si>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</si>
  <si>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</si>
  <si>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</si>
  <si>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</si>
  <si>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</si>
  <si>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</si>
  <si>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</si>
  <si>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</si>
  <si>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</si>
  <si>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</si>
  <si>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</si>
  <si>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</si>
  <si>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</si>
  <si>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</si>
  <si>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</si>
  <si>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</si>
  <si>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</si>
  <si>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</si>
  <si>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</si>
  <si>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</si>
  <si>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</si>
  <si>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</si>
  <si>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</si>
  <si>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</si>
  <si>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</si>
  <si>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</si>
  <si>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</si>
  <si>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</si>
  <si>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</si>
  <si>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</si>
  <si>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</si>
  <si>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</si>
  <si>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</si>
  <si>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</si>
  <si>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csh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</si>
  <si>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</si>
  <si>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</si>
  <si>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</si>
  <si>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</si>
  <si>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</si>
  <si>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</si>
  <si>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</si>
  <si>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</si>
  <si>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</si>
  <si>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</si>
  <si>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</si>
  <si>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</si>
  <si>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</si>
  <si>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</si>
  <si>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</si>
  <si>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</si>
  <si>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</si>
  <si>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</si>
  <si>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</si>
  <si>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</si>
  <si>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</si>
  <si>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</si>
  <si>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</si>
  <si>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</si>
  <si>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</si>
  <si>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</si>
  <si>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</si>
  <si>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</si>
  <si>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</si>
  <si>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</si>
  <si>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</si>
  <si>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</si>
  <si>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</si>
  <si>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</si>
  <si>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</si>
  <si>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</si>
  <si>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</si>
  <si>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</si>
  <si>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</si>
  <si>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</si>
  <si>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</si>
  <si>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</si>
  <si>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</si>
  <si>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</si>
  <si>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</si>
  <si>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</si>
  <si>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</si>
  <si>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</si>
  <si>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</si>
  <si>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</si>
  <si>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</si>
  <si>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</si>
  <si>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</si>
  <si>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</si>
  <si>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</si>
  <si>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</si>
  <si>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</si>
  <si>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</si>
  <si>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</si>
  <si>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</si>
  <si>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</si>
  <si>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</si>
  <si>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</si>
  <si>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</si>
  <si>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</si>
  <si>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</si>
  <si>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</si>
  <si>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</si>
  <si>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</si>
  <si>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</si>
  <si>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</si>
  <si>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</si>
  <si>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</si>
  <si>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</si>
  <si>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</si>
  <si>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</si>
  <si>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</si>
  <si>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</si>
  <si>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</si>
  <si>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</si>
  <si>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</si>
  <si>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</si>
  <si>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</si>
  <si>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</si>
  <si>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</si>
  <si>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</si>
  <si>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</si>
  <si>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</si>
  <si>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Alpha--Level-1-List-Paragraph</t>
  </si>
  <si>
    <t>Alpha--Level-2-List-Paragraph</t>
  </si>
  <si>
    <t>Alpha--Level-3-List-Paragraph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</si>
  <si>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</si>
  <si>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</si>
  <si>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</si>
  <si>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</si>
  <si>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</si>
  <si>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</si>
  <si>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</si>
  <si>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</si>
  <si>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</si>
  <si>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</si>
  <si>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</si>
  <si>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</si>
  <si>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</si>
  <si>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</si>
  <si>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</si>
  <si>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</si>
  <si>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</si>
  <si>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</si>
  <si>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</si>
  <si>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</si>
  <si>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</si>
  <si>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</si>
  <si>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</si>
  <si>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</si>
  <si>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</si>
  <si>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</si>
  <si>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</si>
  <si>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</si>
  <si>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</si>
  <si>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</si>
  <si>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</si>
  <si>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</si>
  <si>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</si>
  <si>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</si>
  <si>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</si>
  <si>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</si>
  <si>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</si>
  <si>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</si>
  <si>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</si>
  <si>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</si>
  <si>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</si>
  <si>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</si>
  <si>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</si>
  <si>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</si>
  <si>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</si>
  <si>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</si>
  <si>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</si>
  <si>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</si>
  <si>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</si>
  <si>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</si>
  <si>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</si>
  <si>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</si>
  <si>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</si>
  <si>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</si>
  <si>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</si>
  <si>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</si>
  <si>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</si>
  <si>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</si>
  <si>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</si>
  <si>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</si>
  <si>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</si>
  <si>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</si>
  <si>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</si>
  <si>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</si>
  <si>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</si>
  <si>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</si>
  <si>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</si>
  <si>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</si>
  <si>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</si>
  <si>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</si>
  <si>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</si>
  <si>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</si>
  <si>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</si>
  <si>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</si>
  <si>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</si>
  <si>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</si>
  <si>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</si>
  <si>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</si>
  <si>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</si>
  <si>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</si>
  <si>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</si>
  <si>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</si>
  <si>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</si>
  <si>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</si>
  <si>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</si>
  <si>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</si>
  <si>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</si>
  <si>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</si>
  <si>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</si>
  <si>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</si>
  <si>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</si>
  <si>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</si>
  <si>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</si>
  <si>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</si>
  <si>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</si>
  <si>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</si>
  <si>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</si>
  <si>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</si>
  <si>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</si>
  <si>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</si>
  <si>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</si>
  <si>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</si>
  <si>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</si>
  <si>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</si>
  <si>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</si>
  <si>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</si>
  <si>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</si>
  <si>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</si>
  <si>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</si>
  <si>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</si>
  <si>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</si>
  <si>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</si>
  <si>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</si>
  <si>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</si>
  <si>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</si>
  <si>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</si>
  <si>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</si>
  <si>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</si>
  <si>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</si>
  <si>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</si>
  <si>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</si>
  <si>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</si>
  <si>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</si>
  <si>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</si>
  <si>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</si>
  <si>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</si>
  <si>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</si>
  <si>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</si>
  <si>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</si>
  <si>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</si>
  <si>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</si>
  <si>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</si>
  <si>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</si>
  <si>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</si>
  <si>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</si>
  <si>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</si>
  <si>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</si>
  <si>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</si>
  <si>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</si>
  <si>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</si>
  <si>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</si>
  <si>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</si>
  <si>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</si>
  <si>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</si>
  <si>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</si>
  <si>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</si>
  <si>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</si>
  <si>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</si>
  <si>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</si>
  <si>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</si>
  <si>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</si>
  <si>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</si>
  <si>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</si>
  <si>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</si>
  <si>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</si>
  <si>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</si>
  <si>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</si>
  <si>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</si>
  <si>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</si>
  <si>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</si>
  <si>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</si>
  <si>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</si>
  <si>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</si>
  <si>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</si>
  <si>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AGL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</si>
  <si>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</si>
  <si>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</si>
  <si>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</si>
  <si>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</si>
  <si>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</si>
  <si>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</si>
  <si>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</si>
  <si>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</si>
  <si>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</si>
  <si>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255,69,0</t>
  </si>
  <si>
    <t>255,255,255</t>
  </si>
  <si>
    <t>180,226,243</t>
  </si>
  <si>
    <t>128,0,0</t>
  </si>
  <si>
    <t>255,0,128</t>
  </si>
  <si>
    <t>0, 102, 0</t>
  </si>
  <si>
    <t>255, 255, 0</t>
  </si>
  <si>
    <t>255, 85, 26</t>
  </si>
  <si>
    <t>229, 229, 229</t>
  </si>
  <si>
    <t>128, 0, 0</t>
  </si>
  <si>
    <t>128, 0, 64</t>
  </si>
  <si>
    <t>171, 0, 159</t>
  </si>
  <si>
    <t>204,255,255</t>
  </si>
  <si>
    <t>153,204,255</t>
  </si>
  <si>
    <t>255,204,153</t>
  </si>
  <si>
    <t>188,232,144</t>
  </si>
  <si>
    <t>222,195,255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</si>
</sst>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color rgb="FFFF4500"/>
      <name val="Calibri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FF551A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AB009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4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5" fillId="18" borderId="0" xfId="0" applyNumberFormat="1" applyFont="1" applyFill="1" applyProtection="1">
      <protection locked="0"/>
    </xf>
    <xf numFmtId="49" fontId="6" fillId="19" borderId="0" xfId="0" applyNumberFormat="1" applyFont="1" applyFill="1" applyProtection="1">
      <protection locked="0"/>
    </xf>
    <xf numFmtId="49" fontId="14" fillId="20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5" fillId="22" borderId="0" xfId="0" applyNumberFormat="1" applyFont="1" applyFill="1" applyProtection="1">
      <protection locked="0"/>
    </xf>
    <xf numFmtId="49" fontId="5" fillId="23" borderId="0" xfId="0" applyNumberFormat="1" applyFont="1" applyFill="1" applyProtection="1">
      <protection locked="0"/>
    </xf>
    <xf numFmtId="49" fontId="15" fillId="24" borderId="0" xfId="0" applyNumberFormat="1" applyFont="1" applyFill="1" applyProtection="1">
      <protection locked="0"/>
    </xf>
    <xf numFmtId="49" fontId="16" fillId="0" borderId="0" xfId="0" applyNumberFormat="1" applyFont="1" applyProtection="1">
      <protection locked="0"/>
    </xf>
    <xf numFmtId="49" fontId="6" fillId="25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23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T185" totalsRowShown="0" headerRowDxfId="101" dataDxfId="99" headerRowBorderDxfId="100" tableBorderDxfId="98">
  <autoFilter ref="A3:CT185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223"/>
  <sheetViews>
    <sheetView tabSelected="1" zoomScale="70" zoomScaleNormal="70" workbookViewId="0">
      <pane xSplit="1" ySplit="3" topLeftCell="AV103" activePane="bottomRight" state="frozen"/>
      <selection pane="topRight" activeCell="B1" sqref="B1"/>
      <selection pane="bottomLeft" activeCell="A4" sqref="A4"/>
      <selection pane="bottomRight" activeCell="AS157" sqref="AS157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16.6640625" style="7" customWidth="1"/>
    <col min="77" max="77" width="20.1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2" width="25.6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2.83203125" style="7" customWidth="1"/>
    <col min="87" max="87" width="26.1640625" style="7" customWidth="1"/>
    <col min="88" max="88" width="17.6640625" style="7" customWidth="1"/>
    <col min="89" max="89" width="26" style="7" customWidth="1"/>
    <col min="90" max="90" width="25.1640625" style="7" customWidth="1"/>
    <col min="91" max="91" width="25.6640625" style="7" customWidth="1"/>
    <col min="92" max="92" width="26.1640625" style="7" customWidth="1"/>
    <col min="93" max="93" width="34.1640625" style="7" customWidth="1"/>
    <col min="94" max="94" width="21.1640625" style="7" customWidth="1"/>
    <col min="95" max="97" width="22.6640625" style="7" customWidth="1"/>
    <col min="98" max="98" width="17" style="7" customWidth="1"/>
    <col min="99" max="16384" width="10.6640625" style="7"/>
  </cols>
  <sheetData>
    <row r="1" spans="1:98" s="3" customFormat="1" ht="27" customHeight="1">
      <c r="A1" s="10" t="s">
        <v>84</v>
      </c>
      <c r="B1" s="61" t="s">
        <v>77</v>
      </c>
      <c r="C1" s="62"/>
      <c r="D1" s="63"/>
      <c r="E1" s="64" t="s">
        <v>78</v>
      </c>
      <c r="F1" s="64"/>
      <c r="G1" s="64"/>
      <c r="H1" s="64"/>
      <c r="I1" s="65" t="s">
        <v>79</v>
      </c>
      <c r="J1" s="66"/>
      <c r="K1" s="66"/>
      <c r="L1" s="66"/>
      <c r="M1" s="66"/>
      <c r="N1" s="66"/>
      <c r="O1" s="66"/>
      <c r="P1" s="66"/>
      <c r="Q1" s="66"/>
      <c r="R1" s="67"/>
      <c r="S1" s="68" t="s">
        <v>80</v>
      </c>
      <c r="T1" s="68"/>
      <c r="U1" s="68"/>
      <c r="V1" s="68"/>
      <c r="W1" s="68"/>
      <c r="X1" s="71" t="s">
        <v>81</v>
      </c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9" t="s">
        <v>83</v>
      </c>
      <c r="BH1" s="80"/>
      <c r="BI1" s="80"/>
      <c r="BJ1" s="81"/>
      <c r="BK1" s="82" t="s">
        <v>89</v>
      </c>
      <c r="BL1" s="83"/>
      <c r="BM1" s="83"/>
      <c r="BN1" s="61" t="s">
        <v>309</v>
      </c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8"/>
      <c r="CQ1" s="74" t="s">
        <v>339</v>
      </c>
      <c r="CR1" s="75"/>
      <c r="CS1" s="75"/>
      <c r="CT1" s="76"/>
    </row>
    <row r="2" spans="1:98" s="4" customFormat="1" ht="93">
      <c r="A2" s="21" t="s">
        <v>207</v>
      </c>
      <c r="B2" s="20" t="s">
        <v>209</v>
      </c>
      <c r="C2" s="59" t="s">
        <v>351</v>
      </c>
      <c r="D2" s="60"/>
      <c r="E2" s="15" t="s">
        <v>95</v>
      </c>
      <c r="F2" s="21" t="s">
        <v>211</v>
      </c>
      <c r="G2" s="21" t="s">
        <v>210</v>
      </c>
      <c r="H2" s="15" t="s">
        <v>450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69" t="s">
        <v>200</v>
      </c>
      <c r="T2" s="69"/>
      <c r="U2" s="69"/>
      <c r="V2" s="69"/>
      <c r="W2" s="70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244</v>
      </c>
      <c r="BO2" s="27" t="s">
        <v>245</v>
      </c>
      <c r="BP2" s="27" t="s">
        <v>246</v>
      </c>
      <c r="BQ2" s="27" t="s">
        <v>247</v>
      </c>
      <c r="BR2" s="27" t="s">
        <v>248</v>
      </c>
      <c r="BS2" s="27" t="s">
        <v>293</v>
      </c>
      <c r="BT2" s="27" t="s">
        <v>294</v>
      </c>
      <c r="BU2" s="27" t="s">
        <v>295</v>
      </c>
      <c r="BV2" s="27" t="s">
        <v>296</v>
      </c>
      <c r="BW2" s="27" t="s">
        <v>297</v>
      </c>
      <c r="BX2" s="27" t="s">
        <v>298</v>
      </c>
      <c r="BY2" s="27" t="s">
        <v>299</v>
      </c>
      <c r="BZ2" s="27" t="s">
        <v>300</v>
      </c>
      <c r="CA2" s="27" t="s">
        <v>301</v>
      </c>
      <c r="CB2" s="27" t="s">
        <v>302</v>
      </c>
      <c r="CC2" s="27" t="s">
        <v>303</v>
      </c>
      <c r="CD2" s="27" t="s">
        <v>304</v>
      </c>
      <c r="CE2" s="27" t="s">
        <v>305</v>
      </c>
      <c r="CF2" s="27" t="s">
        <v>306</v>
      </c>
      <c r="CG2" s="27" t="s">
        <v>307</v>
      </c>
      <c r="CH2" s="27" t="s">
        <v>350</v>
      </c>
      <c r="CI2" s="27" t="s">
        <v>349</v>
      </c>
      <c r="CJ2" s="27" t="s">
        <v>308</v>
      </c>
      <c r="CK2" s="27" t="s">
        <v>310</v>
      </c>
      <c r="CL2" s="27" t="s">
        <v>252</v>
      </c>
      <c r="CM2" s="27" t="s">
        <v>322</v>
      </c>
      <c r="CN2" s="27" t="s">
        <v>269</v>
      </c>
      <c r="CO2" s="27" t="s">
        <v>249</v>
      </c>
      <c r="CP2" s="27" t="s">
        <v>250</v>
      </c>
      <c r="CQ2" s="33" t="s">
        <v>340</v>
      </c>
      <c r="CR2" s="35"/>
      <c r="CS2" s="35"/>
      <c r="CT2" s="34" t="s">
        <v>342</v>
      </c>
    </row>
    <row r="3" spans="1:98" s="18" customFormat="1" ht="17">
      <c r="A3" s="28" t="s">
        <v>337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314</v>
      </c>
      <c r="BO3" s="28" t="s">
        <v>315</v>
      </c>
      <c r="BP3" s="28" t="s">
        <v>316</v>
      </c>
      <c r="BQ3" s="28" t="s">
        <v>317</v>
      </c>
      <c r="BR3" s="28" t="s">
        <v>318</v>
      </c>
      <c r="BS3" s="28" t="s">
        <v>277</v>
      </c>
      <c r="BT3" s="28" t="s">
        <v>278</v>
      </c>
      <c r="BU3" s="28" t="s">
        <v>279</v>
      </c>
      <c r="BV3" s="28" t="s">
        <v>280</v>
      </c>
      <c r="BW3" s="28" t="s">
        <v>281</v>
      </c>
      <c r="BX3" s="28" t="s">
        <v>282</v>
      </c>
      <c r="BY3" s="28" t="s">
        <v>283</v>
      </c>
      <c r="BZ3" s="28" t="s">
        <v>284</v>
      </c>
      <c r="CA3" s="28" t="s">
        <v>285</v>
      </c>
      <c r="CB3" s="28" t="s">
        <v>286</v>
      </c>
      <c r="CC3" s="28" t="s">
        <v>287</v>
      </c>
      <c r="CD3" s="28" t="s">
        <v>288</v>
      </c>
      <c r="CE3" s="28" t="s">
        <v>289</v>
      </c>
      <c r="CF3" s="28" t="s">
        <v>290</v>
      </c>
      <c r="CG3" s="28" t="s">
        <v>291</v>
      </c>
      <c r="CH3" s="28" t="s">
        <v>347</v>
      </c>
      <c r="CI3" s="28" t="s">
        <v>348</v>
      </c>
      <c r="CJ3" s="28" t="s">
        <v>292</v>
      </c>
      <c r="CK3" s="28" t="s">
        <v>311</v>
      </c>
      <c r="CL3" s="28" t="s">
        <v>319</v>
      </c>
      <c r="CM3" s="28" t="s">
        <v>321</v>
      </c>
      <c r="CN3" s="28" t="s">
        <v>320</v>
      </c>
      <c r="CO3" s="28" t="s">
        <v>312</v>
      </c>
      <c r="CP3" s="28" t="s">
        <v>313</v>
      </c>
      <c r="CQ3" s="32" t="s">
        <v>338</v>
      </c>
      <c r="CR3" s="32" t="s">
        <v>344</v>
      </c>
      <c r="CS3" s="32" t="s">
        <v>343</v>
      </c>
      <c r="CT3" s="32" t="s">
        <v>341</v>
      </c>
    </row>
    <row r="4" spans="1:98">
      <c r="A4" s="38" t="str">
        <f t="shared" ref="A4:A100" si="0">IF($D4="","",TRIM($C4)&amp;" "&amp;CHAR(40)&amp;TRIM($D4)&amp;CHAR(41))</f>
        <v>Section-Front-Sales (SFS)</v>
      </c>
      <c r="B4" s="5"/>
      <c r="C4" s="5" t="s">
        <v>241</v>
      </c>
      <c r="D4" s="6" t="s">
        <v>666</v>
      </c>
      <c r="E4" s="5" t="s">
        <v>697</v>
      </c>
      <c r="F4" s="5">
        <v>1</v>
      </c>
      <c r="G4" s="5" t="b">
        <v>0</v>
      </c>
      <c r="H4" s="5">
        <v>1</v>
      </c>
      <c r="I4" s="5" t="s">
        <v>2</v>
      </c>
      <c r="J4" s="5">
        <v>16</v>
      </c>
      <c r="K4" s="5" t="b">
        <v>0</v>
      </c>
      <c r="L4" s="5" t="b">
        <v>0</v>
      </c>
      <c r="M4" s="6" t="s">
        <v>66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1</v>
      </c>
      <c r="AQ4" s="25" t="s">
        <v>243</v>
      </c>
      <c r="AR4" s="5">
        <v>1</v>
      </c>
      <c r="AS4" s="5">
        <v>48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44" t="s">
        <v>700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L4" s="7" t="s">
        <v>253</v>
      </c>
      <c r="CM4" s="7" t="s">
        <v>323</v>
      </c>
      <c r="CN4" s="7" t="s">
        <v>270</v>
      </c>
      <c r="CO4" s="24" t="str">
        <f t="shared" ref="CO4:CO35" si="1">"."&amp;SUBSTITUTE(SUBSTITUTE(SUBSTITUTE(SUBSTITUTE(A4, "(",""),")","")," ",""),"#","")</f>
        <v>.Section-Front-SalesSFS</v>
      </c>
      <c r="CR4" s="7" t="b">
        <v>1</v>
      </c>
      <c r="CS4" s="7" t="b">
        <v>1</v>
      </c>
      <c r="CT4" s="7" t="b">
        <v>1</v>
      </c>
    </row>
    <row r="5" spans="1:98">
      <c r="A5" s="38" t="str">
        <f t="shared" si="0"/>
        <v>Section-Halftitle (SHT)</v>
      </c>
      <c r="B5" s="5"/>
      <c r="C5" s="5" t="s">
        <v>213</v>
      </c>
      <c r="D5" s="6" t="s">
        <v>667</v>
      </c>
      <c r="E5" s="5" t="s">
        <v>697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243</v>
      </c>
      <c r="AR5" s="5">
        <v>1</v>
      </c>
      <c r="AS5" s="5">
        <v>48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700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7" t="s">
        <v>254</v>
      </c>
      <c r="CM5" s="7" t="s">
        <v>324</v>
      </c>
      <c r="CO5" s="24" t="str">
        <f t="shared" si="1"/>
        <v>.Section-HalftitleSHT</v>
      </c>
      <c r="CR5" s="7" t="b">
        <v>1</v>
      </c>
      <c r="CS5" s="7" t="b">
        <v>1</v>
      </c>
      <c r="CT5" s="7" t="b">
        <v>1</v>
      </c>
    </row>
    <row r="6" spans="1:98">
      <c r="A6" s="38" t="str">
        <f t="shared" si="0"/>
        <v>Section-Ad-Card (SAC)</v>
      </c>
      <c r="B6" s="5"/>
      <c r="C6" s="5" t="s">
        <v>212</v>
      </c>
      <c r="D6" s="6" t="s">
        <v>668</v>
      </c>
      <c r="E6" s="5" t="s">
        <v>696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243</v>
      </c>
      <c r="AR6" s="5">
        <v>1</v>
      </c>
      <c r="AS6" s="5">
        <v>48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700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7" t="s">
        <v>253</v>
      </c>
      <c r="CM6" s="7" t="s">
        <v>326</v>
      </c>
      <c r="CN6" s="7" t="s">
        <v>272</v>
      </c>
      <c r="CO6" s="24" t="str">
        <f t="shared" si="1"/>
        <v>.Section-Ad-CardSAC</v>
      </c>
      <c r="CR6" s="7" t="b">
        <v>1</v>
      </c>
      <c r="CS6" s="7" t="b">
        <v>1</v>
      </c>
      <c r="CT6" s="7" t="b">
        <v>1</v>
      </c>
    </row>
    <row r="7" spans="1:98">
      <c r="A7" s="38" t="str">
        <f t="shared" si="0"/>
        <v>Section-Series-Page (SSP)</v>
      </c>
      <c r="B7" s="5"/>
      <c r="C7" s="5" t="s">
        <v>242</v>
      </c>
      <c r="D7" s="6" t="s">
        <v>669</v>
      </c>
      <c r="E7" s="5" t="s">
        <v>696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243</v>
      </c>
      <c r="AR7" s="5">
        <v>1</v>
      </c>
      <c r="AS7" s="5">
        <v>48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700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7" t="s">
        <v>253</v>
      </c>
      <c r="CM7" s="7" t="s">
        <v>325</v>
      </c>
      <c r="CN7" s="7" t="s">
        <v>271</v>
      </c>
      <c r="CO7" s="24" t="str">
        <f t="shared" si="1"/>
        <v>.Section-Series-PageSSP</v>
      </c>
      <c r="CR7" s="7" t="b">
        <v>1</v>
      </c>
      <c r="CS7" s="7" t="b">
        <v>1</v>
      </c>
      <c r="CT7" s="7" t="b">
        <v>1</v>
      </c>
    </row>
    <row r="8" spans="1:98">
      <c r="A8" s="38" t="str">
        <f t="shared" si="0"/>
        <v>Section-Titlepage (STI)</v>
      </c>
      <c r="B8" s="5"/>
      <c r="C8" s="5" t="s">
        <v>214</v>
      </c>
      <c r="D8" s="6" t="s">
        <v>670</v>
      </c>
      <c r="E8" s="5" t="s">
        <v>697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243</v>
      </c>
      <c r="AR8" s="5">
        <v>1</v>
      </c>
      <c r="AS8" s="5">
        <v>48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700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7" t="s">
        <v>255</v>
      </c>
      <c r="CM8" s="7" t="s">
        <v>327</v>
      </c>
      <c r="CO8" s="24" t="str">
        <f t="shared" si="1"/>
        <v>.Section-TitlepageSTI</v>
      </c>
      <c r="CR8" s="7" t="b">
        <v>1</v>
      </c>
      <c r="CS8" s="7" t="b">
        <v>1</v>
      </c>
      <c r="CT8" s="7" t="b">
        <v>1</v>
      </c>
    </row>
    <row r="9" spans="1:98">
      <c r="A9" s="38" t="str">
        <f t="shared" si="0"/>
        <v>Section-Copyright (SCR)</v>
      </c>
      <c r="B9" s="5"/>
      <c r="C9" s="5" t="s">
        <v>221</v>
      </c>
      <c r="D9" s="6" t="s">
        <v>671</v>
      </c>
      <c r="E9" s="5" t="s">
        <v>452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243</v>
      </c>
      <c r="AR9" s="5">
        <v>1</v>
      </c>
      <c r="AS9" s="5">
        <v>48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700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7" t="s">
        <v>256</v>
      </c>
      <c r="CM9" s="7" t="s">
        <v>328</v>
      </c>
      <c r="CO9" s="24" t="str">
        <f t="shared" si="1"/>
        <v>.Section-CopyrightSCR</v>
      </c>
      <c r="CR9" s="7" t="b">
        <v>1</v>
      </c>
      <c r="CS9" s="7" t="b">
        <v>1</v>
      </c>
      <c r="CT9" s="7" t="b">
        <v>1</v>
      </c>
    </row>
    <row r="10" spans="1:98">
      <c r="A10" s="38" t="str">
        <f t="shared" si="0"/>
        <v>Section-Ebook-Copyright (SECR)</v>
      </c>
      <c r="B10" s="5"/>
      <c r="C10" s="5" t="s">
        <v>454</v>
      </c>
      <c r="D10" s="6" t="s">
        <v>672</v>
      </c>
      <c r="E10" s="5" t="s">
        <v>452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39" t="s">
        <v>699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243</v>
      </c>
      <c r="AR10" s="5">
        <v>1</v>
      </c>
      <c r="AS10" s="5">
        <v>48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2" t="s">
        <v>701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7" t="s">
        <v>256</v>
      </c>
      <c r="CM10" s="7" t="s">
        <v>328</v>
      </c>
      <c r="CO10" s="24" t="str">
        <f t="shared" ref="CO10" si="2">"."&amp;SUBSTITUTE(SUBSTITUTE(SUBSTITUTE(SUBSTITUTE(A10, "(",""),")","")," ",""),"#","")</f>
        <v>.Section-Ebook-CopyrightSECR</v>
      </c>
      <c r="CR10" s="7" t="b">
        <v>1</v>
      </c>
      <c r="CS10" s="7" t="b">
        <v>1</v>
      </c>
      <c r="CT10" s="7" t="b">
        <v>1</v>
      </c>
    </row>
    <row r="11" spans="1:98" ht="14" customHeight="1">
      <c r="A11" s="38" t="str">
        <f t="shared" si="0"/>
        <v>Section-Dedication (SDE)</v>
      </c>
      <c r="B11" s="5"/>
      <c r="C11" s="5" t="s">
        <v>222</v>
      </c>
      <c r="D11" s="6" t="s">
        <v>673</v>
      </c>
      <c r="E11" s="5" t="s">
        <v>451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6" t="s">
        <v>66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243</v>
      </c>
      <c r="AR11" s="5">
        <v>1</v>
      </c>
      <c r="AS11" s="5">
        <v>48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4" t="s">
        <v>700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7" t="s">
        <v>257</v>
      </c>
      <c r="CM11" s="7" t="s">
        <v>205</v>
      </c>
      <c r="CO11" s="24" t="str">
        <f t="shared" si="1"/>
        <v>.Section-DedicationSDE</v>
      </c>
      <c r="CR11" s="7" t="b">
        <v>1</v>
      </c>
      <c r="CS11" s="7" t="b">
        <v>1</v>
      </c>
      <c r="CT11" s="7" t="b">
        <v>1</v>
      </c>
    </row>
    <row r="12" spans="1:98">
      <c r="A12" s="38" t="str">
        <f t="shared" si="0"/>
        <v>Section-Epigraph (SEP)</v>
      </c>
      <c r="B12" s="5"/>
      <c r="C12" s="5" t="s">
        <v>223</v>
      </c>
      <c r="D12" s="6" t="s">
        <v>674</v>
      </c>
      <c r="E12" s="5" t="s">
        <v>452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243</v>
      </c>
      <c r="AR12" s="5">
        <v>1</v>
      </c>
      <c r="AS12" s="5">
        <v>48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700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7" t="s">
        <v>253</v>
      </c>
      <c r="CM12" s="7" t="s">
        <v>329</v>
      </c>
      <c r="CN12" s="7" t="s">
        <v>251</v>
      </c>
      <c r="CO12" s="24" t="str">
        <f t="shared" si="1"/>
        <v>.Section-EpigraphSEP</v>
      </c>
      <c r="CR12" s="7" t="b">
        <v>1</v>
      </c>
      <c r="CS12" s="7" t="b">
        <v>1</v>
      </c>
      <c r="CT12" s="7" t="b">
        <v>1</v>
      </c>
    </row>
    <row r="13" spans="1:98">
      <c r="A13" s="38" t="str">
        <f t="shared" si="0"/>
        <v>Section-Contents (STC)</v>
      </c>
      <c r="B13" s="5"/>
      <c r="C13" s="5" t="s">
        <v>224</v>
      </c>
      <c r="D13" s="6" t="s">
        <v>675</v>
      </c>
      <c r="E13" s="5" t="s">
        <v>696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243</v>
      </c>
      <c r="AR13" s="5">
        <v>1</v>
      </c>
      <c r="AS13" s="5">
        <v>48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700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7" t="s">
        <v>253</v>
      </c>
      <c r="CM13" s="7" t="s">
        <v>330</v>
      </c>
      <c r="CN13" s="7" t="s">
        <v>346</v>
      </c>
      <c r="CO13" s="24" t="str">
        <f t="shared" si="1"/>
        <v>.Section-ContentsSTC</v>
      </c>
      <c r="CR13" s="7" t="b">
        <v>1</v>
      </c>
      <c r="CS13" s="7" t="b">
        <v>1</v>
      </c>
      <c r="CT13" s="7" t="b">
        <v>1</v>
      </c>
    </row>
    <row r="14" spans="1:98">
      <c r="A14" s="38" t="str">
        <f t="shared" si="0"/>
        <v>Section-Foreword (SFW)</v>
      </c>
      <c r="B14" s="5"/>
      <c r="C14" s="5" t="s">
        <v>226</v>
      </c>
      <c r="D14" s="6" t="s">
        <v>676</v>
      </c>
      <c r="E14" s="5" t="s">
        <v>696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243</v>
      </c>
      <c r="AR14" s="5">
        <v>1</v>
      </c>
      <c r="AS14" s="5">
        <v>48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700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7" t="s">
        <v>258</v>
      </c>
      <c r="CO14" s="24" t="str">
        <f t="shared" si="1"/>
        <v>.Section-ForewordSFW</v>
      </c>
      <c r="CR14" s="7" t="b">
        <v>1</v>
      </c>
      <c r="CS14" s="7" t="b">
        <v>1</v>
      </c>
      <c r="CT14" s="7" t="b">
        <v>1</v>
      </c>
    </row>
    <row r="15" spans="1:98">
      <c r="A15" s="38" t="str">
        <f t="shared" si="0"/>
        <v>Section-Preface (SPF)</v>
      </c>
      <c r="B15" s="5"/>
      <c r="C15" s="5" t="s">
        <v>225</v>
      </c>
      <c r="D15" s="6" t="s">
        <v>677</v>
      </c>
      <c r="E15" s="5" t="s">
        <v>696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243</v>
      </c>
      <c r="AR15" s="5">
        <v>1</v>
      </c>
      <c r="AS15" s="5">
        <v>48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700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7" t="s">
        <v>253</v>
      </c>
      <c r="CO15" s="24" t="str">
        <f t="shared" si="1"/>
        <v>.Section-PrefaceSPF</v>
      </c>
      <c r="CR15" s="7" t="b">
        <v>1</v>
      </c>
      <c r="CS15" s="7" t="b">
        <v>1</v>
      </c>
      <c r="CT15" s="7" t="b">
        <v>1</v>
      </c>
    </row>
    <row r="16" spans="1:98">
      <c r="A16" s="38" t="str">
        <f t="shared" si="0"/>
        <v>Section-Front-Matter-General (SFM)</v>
      </c>
      <c r="B16" s="5"/>
      <c r="C16" s="5" t="s">
        <v>458</v>
      </c>
      <c r="D16" s="6" t="s">
        <v>678</v>
      </c>
      <c r="E16" s="5" t="s">
        <v>696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243</v>
      </c>
      <c r="AR16" s="5">
        <v>1</v>
      </c>
      <c r="AS16" s="5">
        <v>48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700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7" t="s">
        <v>253</v>
      </c>
      <c r="CO16" s="24" t="str">
        <f t="shared" ref="CO16" si="3">"."&amp;SUBSTITUTE(SUBSTITUTE(SUBSTITUTE(SUBSTITUTE(A16, "(",""),")","")," ",""),"#","")</f>
        <v>.Section-Front-Matter-GeneralSFM</v>
      </c>
      <c r="CR16" s="7" t="b">
        <v>1</v>
      </c>
      <c r="CS16" s="7" t="b">
        <v>1</v>
      </c>
      <c r="CT16" s="7" t="b">
        <v>1</v>
      </c>
    </row>
    <row r="17" spans="1:98">
      <c r="A17" s="38" t="str">
        <f t="shared" si="0"/>
        <v>Section-Introduction (SIC)</v>
      </c>
      <c r="B17" s="5"/>
      <c r="C17" s="5" t="s">
        <v>665</v>
      </c>
      <c r="D17" s="6" t="s">
        <v>679</v>
      </c>
      <c r="E17" s="5" t="s">
        <v>696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243</v>
      </c>
      <c r="AR17" s="5">
        <v>1</v>
      </c>
      <c r="AS17" s="5">
        <v>48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700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7" t="s">
        <v>259</v>
      </c>
      <c r="CO17" s="24" t="str">
        <f t="shared" si="1"/>
        <v>.Section-IntroductionSIC</v>
      </c>
      <c r="CR17" s="7" t="b">
        <v>1</v>
      </c>
      <c r="CS17" s="7" t="b">
        <v>1</v>
      </c>
      <c r="CT17" s="7" t="b">
        <v>1</v>
      </c>
    </row>
    <row r="18" spans="1:98">
      <c r="A18" s="38" t="str">
        <f t="shared" si="0"/>
        <v>Section-Part (SPT)</v>
      </c>
      <c r="B18" s="5"/>
      <c r="C18" s="5" t="s">
        <v>227</v>
      </c>
      <c r="D18" s="6" t="s">
        <v>680</v>
      </c>
      <c r="E18" s="5" t="s">
        <v>697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39" t="s">
        <v>699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243</v>
      </c>
      <c r="AR18" s="5">
        <v>1</v>
      </c>
      <c r="AS18" s="5">
        <v>48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3" t="s">
        <v>702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7" t="s">
        <v>261</v>
      </c>
      <c r="CO18" s="24" t="str">
        <f t="shared" si="1"/>
        <v>.Section-PartSPT</v>
      </c>
      <c r="CR18" s="7" t="b">
        <v>1</v>
      </c>
      <c r="CS18" s="7" t="b">
        <v>1</v>
      </c>
      <c r="CT18" s="7" t="b">
        <v>1</v>
      </c>
    </row>
    <row r="19" spans="1:98">
      <c r="A19" s="38" t="str">
        <f t="shared" si="0"/>
        <v>Section-Chapter (SCP)</v>
      </c>
      <c r="B19" s="5"/>
      <c r="C19" s="5" t="s">
        <v>228</v>
      </c>
      <c r="D19" s="6" t="s">
        <v>681</v>
      </c>
      <c r="E19" s="5" t="s">
        <v>697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699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243</v>
      </c>
      <c r="AR19" s="5">
        <v>1</v>
      </c>
      <c r="AS19" s="5">
        <v>48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0" t="s">
        <v>703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7" t="s">
        <v>260</v>
      </c>
      <c r="CO19" s="24" t="str">
        <f t="shared" si="1"/>
        <v>.Section-ChapterSCP</v>
      </c>
      <c r="CR19" s="7" t="b">
        <v>1</v>
      </c>
      <c r="CS19" s="7" t="b">
        <v>1</v>
      </c>
      <c r="CT19" s="7" t="b">
        <v>1</v>
      </c>
    </row>
    <row r="20" spans="1:98">
      <c r="A20" s="38" t="str">
        <f t="shared" si="0"/>
        <v>Section-Recipe (SREC)</v>
      </c>
      <c r="B20" s="5"/>
      <c r="C20" s="5" t="s">
        <v>455</v>
      </c>
      <c r="D20" s="6" t="s">
        <v>682</v>
      </c>
      <c r="E20" s="5" t="s">
        <v>697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699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243</v>
      </c>
      <c r="AR20" s="5">
        <v>1</v>
      </c>
      <c r="AS20" s="5">
        <v>48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703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7" t="s">
        <v>260</v>
      </c>
      <c r="CO20" s="24" t="str">
        <f t="shared" ref="CO20:CO21" si="4">"."&amp;SUBSTITUTE(SUBSTITUTE(SUBSTITUTE(SUBSTITUTE(A20, "(",""),")","")," ",""),"#","")</f>
        <v>.Section-RecipeSREC</v>
      </c>
      <c r="CR20" s="7" t="b">
        <v>1</v>
      </c>
      <c r="CS20" s="7" t="b">
        <v>1</v>
      </c>
      <c r="CT20" s="7" t="b">
        <v>1</v>
      </c>
    </row>
    <row r="21" spans="1:98">
      <c r="A21" s="38" t="str">
        <f t="shared" si="0"/>
        <v>Section-Interlude (SIN)</v>
      </c>
      <c r="B21" s="5"/>
      <c r="C21" s="5" t="s">
        <v>456</v>
      </c>
      <c r="D21" s="6" t="s">
        <v>683</v>
      </c>
      <c r="E21" s="5" t="s">
        <v>697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699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243</v>
      </c>
      <c r="AR21" s="5">
        <v>1</v>
      </c>
      <c r="AS21" s="5">
        <v>48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703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7" t="s">
        <v>260</v>
      </c>
      <c r="CO21" s="24" t="str">
        <f t="shared" si="4"/>
        <v>.Section-InterludeSIN</v>
      </c>
      <c r="CR21" s="7" t="b">
        <v>1</v>
      </c>
      <c r="CS21" s="7" t="b">
        <v>1</v>
      </c>
      <c r="CT21" s="7" t="b">
        <v>1</v>
      </c>
    </row>
    <row r="22" spans="1:98">
      <c r="A22" s="38" t="str">
        <f t="shared" si="0"/>
        <v>Section-Conclusion (SCL)</v>
      </c>
      <c r="B22" s="5"/>
      <c r="C22" s="5" t="s">
        <v>231</v>
      </c>
      <c r="D22" s="6" t="s">
        <v>684</v>
      </c>
      <c r="E22" s="5" t="s">
        <v>696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699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243</v>
      </c>
      <c r="AR22" s="5">
        <v>1</v>
      </c>
      <c r="AS22" s="5">
        <v>48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703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7" t="s">
        <v>262</v>
      </c>
      <c r="CM22" s="7" t="s">
        <v>332</v>
      </c>
      <c r="CO22" s="24" t="str">
        <f t="shared" si="1"/>
        <v>.Section-ConclusionSCL</v>
      </c>
      <c r="CR22" s="7" t="b">
        <v>1</v>
      </c>
      <c r="CS22" s="7" t="b">
        <v>1</v>
      </c>
      <c r="CT22" s="7" t="b">
        <v>1</v>
      </c>
    </row>
    <row r="23" spans="1:98">
      <c r="A23" s="38" t="str">
        <f t="shared" si="0"/>
        <v>Section-Afterword (SAW)</v>
      </c>
      <c r="B23" s="5"/>
      <c r="C23" s="5" t="s">
        <v>230</v>
      </c>
      <c r="D23" s="6" t="s">
        <v>685</v>
      </c>
      <c r="E23" s="5" t="s">
        <v>696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704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243</v>
      </c>
      <c r="AR23" s="5">
        <v>1</v>
      </c>
      <c r="AS23" s="5">
        <v>48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1" t="s">
        <v>69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7" t="s">
        <v>264</v>
      </c>
      <c r="CO23" s="24" t="str">
        <f t="shared" si="1"/>
        <v>.Section-AfterwordSAW</v>
      </c>
      <c r="CR23" s="7" t="b">
        <v>1</v>
      </c>
      <c r="CS23" s="7" t="b">
        <v>1</v>
      </c>
      <c r="CT23" s="7" t="b">
        <v>1</v>
      </c>
    </row>
    <row r="24" spans="1:98">
      <c r="A24" s="38" t="str">
        <f t="shared" si="0"/>
        <v>Section-Acknowledgments (SAK)</v>
      </c>
      <c r="B24" s="5"/>
      <c r="C24" s="5" t="s">
        <v>232</v>
      </c>
      <c r="D24" s="6" t="s">
        <v>686</v>
      </c>
      <c r="E24" s="5" t="s">
        <v>696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699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243</v>
      </c>
      <c r="AR24" s="5">
        <v>1</v>
      </c>
      <c r="AS24" s="5">
        <v>48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7" t="s">
        <v>265</v>
      </c>
      <c r="CO24" s="24" t="str">
        <f t="shared" si="1"/>
        <v>.Section-AcknowledgmentsSAK</v>
      </c>
      <c r="CR24" s="7" t="b">
        <v>1</v>
      </c>
      <c r="CS24" s="7" t="b">
        <v>1</v>
      </c>
      <c r="CT24" s="7" t="b">
        <v>1</v>
      </c>
    </row>
    <row r="25" spans="1:98">
      <c r="A25" s="38" t="str">
        <f t="shared" si="0"/>
        <v>Section-Appendix (SAP)</v>
      </c>
      <c r="B25" s="5"/>
      <c r="C25" s="5" t="s">
        <v>229</v>
      </c>
      <c r="D25" s="6" t="s">
        <v>687</v>
      </c>
      <c r="E25" s="5" t="s">
        <v>696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699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243</v>
      </c>
      <c r="AR25" s="5">
        <v>1</v>
      </c>
      <c r="AS25" s="5">
        <v>48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7" t="s">
        <v>263</v>
      </c>
      <c r="CO25" s="24" t="str">
        <f t="shared" si="1"/>
        <v>.Section-AppendixSAP</v>
      </c>
      <c r="CR25" s="7" t="b">
        <v>1</v>
      </c>
      <c r="CS25" s="7" t="b">
        <v>1</v>
      </c>
      <c r="CT25" s="7" t="b">
        <v>1</v>
      </c>
    </row>
    <row r="26" spans="1:98">
      <c r="A26" s="38" t="str">
        <f t="shared" si="0"/>
        <v>Section-Glossary (AGL)</v>
      </c>
      <c r="B26" s="5"/>
      <c r="C26" s="5" t="s">
        <v>233</v>
      </c>
      <c r="D26" s="6" t="s">
        <v>688</v>
      </c>
      <c r="E26" s="5" t="s">
        <v>696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699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243</v>
      </c>
      <c r="AR26" s="5">
        <v>1</v>
      </c>
      <c r="AS26" s="5">
        <v>48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7" t="s">
        <v>266</v>
      </c>
      <c r="CO26" s="24" t="str">
        <f t="shared" si="1"/>
        <v>.Section-GlossaryAGL</v>
      </c>
      <c r="CR26" s="7" t="b">
        <v>1</v>
      </c>
      <c r="CS26" s="7" t="b">
        <v>1</v>
      </c>
      <c r="CT26" s="7" t="b">
        <v>1</v>
      </c>
    </row>
    <row r="27" spans="1:98">
      <c r="A27" s="38" t="str">
        <f t="shared" si="0"/>
        <v>Section-Excerpt-Chapter (SEC)</v>
      </c>
      <c r="B27" s="5"/>
      <c r="C27" s="5" t="s">
        <v>237</v>
      </c>
      <c r="D27" s="6" t="s">
        <v>689</v>
      </c>
      <c r="E27" s="5" t="s">
        <v>697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699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243</v>
      </c>
      <c r="AR27" s="5">
        <v>1</v>
      </c>
      <c r="AS27" s="5">
        <v>48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7" t="s">
        <v>263</v>
      </c>
      <c r="CM27" s="7" t="s">
        <v>334</v>
      </c>
      <c r="CN27" s="7" t="s">
        <v>275</v>
      </c>
      <c r="CO27" s="24" t="str">
        <f t="shared" si="1"/>
        <v>.Section-Excerpt-ChapterSEC</v>
      </c>
      <c r="CR27" s="7" t="b">
        <v>1</v>
      </c>
      <c r="CS27" s="7" t="b">
        <v>1</v>
      </c>
      <c r="CT27" s="7" t="b">
        <v>1</v>
      </c>
    </row>
    <row r="28" spans="1:98">
      <c r="A28" s="38" t="str">
        <f t="shared" si="0"/>
        <v>Section-Excerpt-Opener (SEO)</v>
      </c>
      <c r="B28" s="5"/>
      <c r="C28" s="5" t="s">
        <v>236</v>
      </c>
      <c r="D28" s="6" t="s">
        <v>690</v>
      </c>
      <c r="E28" s="5" t="s">
        <v>696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699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243</v>
      </c>
      <c r="AR28" s="5">
        <v>1</v>
      </c>
      <c r="AS28" s="5">
        <v>48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7" t="s">
        <v>263</v>
      </c>
      <c r="CM28" s="7" t="s">
        <v>333</v>
      </c>
      <c r="CN28" s="7" t="s">
        <v>274</v>
      </c>
      <c r="CO28" s="24" t="str">
        <f t="shared" si="1"/>
        <v>.Section-Excerpt-OpenerSEO</v>
      </c>
      <c r="CR28" s="7" t="b">
        <v>1</v>
      </c>
      <c r="CS28" s="7" t="b">
        <v>1</v>
      </c>
      <c r="CT28" s="7" t="b">
        <v>1</v>
      </c>
    </row>
    <row r="29" spans="1:98">
      <c r="A29" s="38" t="str">
        <f t="shared" si="0"/>
        <v>Section-Bibliography (SBI)</v>
      </c>
      <c r="B29" s="5"/>
      <c r="C29" s="5" t="s">
        <v>235</v>
      </c>
      <c r="D29" s="6" t="s">
        <v>691</v>
      </c>
      <c r="E29" s="5" t="s">
        <v>696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699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243</v>
      </c>
      <c r="AR29" s="5">
        <v>1</v>
      </c>
      <c r="AS29" s="5">
        <v>48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7" t="s">
        <v>267</v>
      </c>
      <c r="CO29" s="24" t="str">
        <f t="shared" si="1"/>
        <v>.Section-BibliographySBI</v>
      </c>
      <c r="CR29" s="7" t="b">
        <v>1</v>
      </c>
      <c r="CS29" s="7" t="b">
        <v>1</v>
      </c>
      <c r="CT29" s="7" t="b">
        <v>1</v>
      </c>
    </row>
    <row r="30" spans="1:98">
      <c r="A30" s="38" t="str">
        <f t="shared" si="0"/>
        <v>Section-Notes (SNT)</v>
      </c>
      <c r="B30" s="5"/>
      <c r="C30" s="5" t="s">
        <v>234</v>
      </c>
      <c r="D30" s="6" t="s">
        <v>692</v>
      </c>
      <c r="E30" s="5" t="s">
        <v>696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699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243</v>
      </c>
      <c r="AR30" s="5">
        <v>1</v>
      </c>
      <c r="AS30" s="5">
        <v>48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7" t="s">
        <v>263</v>
      </c>
      <c r="CM30" s="7" t="s">
        <v>250</v>
      </c>
      <c r="CN30" s="7" t="s">
        <v>273</v>
      </c>
      <c r="CO30" s="24" t="str">
        <f t="shared" si="1"/>
        <v>.Section-NotesSNT</v>
      </c>
      <c r="CR30" s="7" t="b">
        <v>1</v>
      </c>
      <c r="CS30" s="7" t="b">
        <v>1</v>
      </c>
      <c r="CT30" s="7" t="b">
        <v>1</v>
      </c>
    </row>
    <row r="31" spans="1:98">
      <c r="A31" s="38" t="str">
        <f t="shared" si="0"/>
        <v>Section-About-Author (SAA)</v>
      </c>
      <c r="B31" s="5"/>
      <c r="C31" s="5" t="s">
        <v>238</v>
      </c>
      <c r="D31" s="6" t="s">
        <v>693</v>
      </c>
      <c r="E31" s="5" t="s">
        <v>696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699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243</v>
      </c>
      <c r="AR31" s="5">
        <v>1</v>
      </c>
      <c r="AS31" s="5">
        <v>48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2" t="s">
        <v>701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7" t="s">
        <v>263</v>
      </c>
      <c r="CM31" s="7" t="s">
        <v>335</v>
      </c>
      <c r="CN31" s="7" t="s">
        <v>276</v>
      </c>
      <c r="CO31" s="24" t="str">
        <f t="shared" si="1"/>
        <v>.Section-About-AuthorSAA</v>
      </c>
      <c r="CR31" s="7" t="b">
        <v>1</v>
      </c>
      <c r="CS31" s="7" t="b">
        <v>1</v>
      </c>
      <c r="CT31" s="7" t="b">
        <v>1</v>
      </c>
    </row>
    <row r="32" spans="1:98">
      <c r="A32" s="38" t="str">
        <f t="shared" si="0"/>
        <v>Section-Back-Ad (SBA)</v>
      </c>
      <c r="B32" s="5"/>
      <c r="C32" s="5" t="s">
        <v>239</v>
      </c>
      <c r="D32" s="6" t="s">
        <v>694</v>
      </c>
      <c r="E32" s="5" t="s">
        <v>697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699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243</v>
      </c>
      <c r="AR32" s="5">
        <v>1</v>
      </c>
      <c r="AS32" s="5">
        <v>48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1" t="s">
        <v>69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7" t="s">
        <v>263</v>
      </c>
      <c r="CM32" s="7" t="s">
        <v>336</v>
      </c>
      <c r="CN32" s="7" t="s">
        <v>345</v>
      </c>
      <c r="CO32" s="24" t="str">
        <f t="shared" si="1"/>
        <v>.Section-Back-AdSBA</v>
      </c>
      <c r="CR32" s="7" t="b">
        <v>1</v>
      </c>
      <c r="CS32" s="7" t="b">
        <v>1</v>
      </c>
      <c r="CT32" s="7" t="b">
        <v>1</v>
      </c>
    </row>
    <row r="33" spans="1:98">
      <c r="A33" s="38" t="str">
        <f t="shared" si="0"/>
        <v>Section-Index (SIN)</v>
      </c>
      <c r="B33" s="5"/>
      <c r="C33" s="5" t="s">
        <v>240</v>
      </c>
      <c r="D33" s="6" t="s">
        <v>683</v>
      </c>
      <c r="E33" s="5" t="s">
        <v>696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699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243</v>
      </c>
      <c r="AR33" s="5">
        <v>1</v>
      </c>
      <c r="AS33" s="5">
        <v>48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7" t="s">
        <v>268</v>
      </c>
      <c r="CO33" s="24" t="str">
        <f t="shared" si="1"/>
        <v>.Section-IndexSIN</v>
      </c>
      <c r="CR33" s="7" t="b">
        <v>1</v>
      </c>
      <c r="CS33" s="7" t="b">
        <v>1</v>
      </c>
      <c r="CT33" s="7" t="b">
        <v>1</v>
      </c>
    </row>
    <row r="34" spans="1:98">
      <c r="A34" s="38" t="str">
        <f t="shared" si="0"/>
        <v>Section-Back-Matter-General (SBM)</v>
      </c>
      <c r="B34" s="5"/>
      <c r="C34" s="5" t="s">
        <v>457</v>
      </c>
      <c r="D34" s="6" t="s">
        <v>695</v>
      </c>
      <c r="E34" s="5" t="s">
        <v>696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699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243</v>
      </c>
      <c r="AR34" s="5">
        <v>1</v>
      </c>
      <c r="AS34" s="5">
        <v>48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7" t="s">
        <v>253</v>
      </c>
      <c r="CN34" s="7" t="s">
        <v>331</v>
      </c>
      <c r="CO34" s="24" t="str">
        <f t="shared" si="1"/>
        <v>.Section-Back-Matter-GeneralSBM</v>
      </c>
      <c r="CR34" s="7" t="b">
        <v>1</v>
      </c>
      <c r="CS34" s="7" t="b">
        <v>1</v>
      </c>
      <c r="CT34" s="7" t="b">
        <v>1</v>
      </c>
    </row>
    <row r="35" spans="1:98">
      <c r="A35" s="38" t="str">
        <f t="shared" si="0"/>
        <v>Number (Num)</v>
      </c>
      <c r="C35" s="7" t="s">
        <v>352</v>
      </c>
      <c r="D35" s="6" t="s">
        <v>353</v>
      </c>
      <c r="E35" s="5" t="s">
        <v>697</v>
      </c>
      <c r="F35" s="5">
        <v>1</v>
      </c>
      <c r="G35" s="5" t="b">
        <v>1</v>
      </c>
      <c r="H35" s="5">
        <v>1</v>
      </c>
      <c r="I35" s="5" t="s">
        <v>2</v>
      </c>
      <c r="J35" s="5">
        <v>14</v>
      </c>
      <c r="K35" s="7" t="b">
        <v>0</v>
      </c>
      <c r="L35" s="5" t="b">
        <v>0</v>
      </c>
      <c r="M35" s="6" t="s">
        <v>66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7">
        <v>0</v>
      </c>
      <c r="AB35" s="7">
        <v>0</v>
      </c>
      <c r="AC35" s="7">
        <v>6</v>
      </c>
      <c r="AD35" s="7">
        <v>6</v>
      </c>
      <c r="AE35" s="7">
        <v>2</v>
      </c>
      <c r="AF35" s="7">
        <v>24</v>
      </c>
      <c r="AG35" s="7">
        <v>1</v>
      </c>
      <c r="AH35" s="7">
        <v>0</v>
      </c>
      <c r="AI35" s="5">
        <v>3</v>
      </c>
      <c r="AJ35" s="7" t="b">
        <v>0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51" t="s">
        <v>709</v>
      </c>
      <c r="AR35" s="5">
        <v>2</v>
      </c>
      <c r="AS35" s="5">
        <v>48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9" t="s">
        <v>66</v>
      </c>
      <c r="BG35" s="6"/>
      <c r="BH35" s="5"/>
      <c r="BI35" s="5"/>
      <c r="BJ35" s="5"/>
      <c r="BK35" s="5" t="s">
        <v>0</v>
      </c>
      <c r="BL35" s="5">
        <v>0</v>
      </c>
      <c r="BM35" s="5" t="b">
        <v>0</v>
      </c>
      <c r="BT35" s="7" t="b">
        <v>1</v>
      </c>
      <c r="CO35" s="24" t="str">
        <f t="shared" si="1"/>
        <v>.NumberNum</v>
      </c>
    </row>
    <row r="36" spans="1:98">
      <c r="A36" s="38" t="str">
        <f t="shared" si="0"/>
        <v>Title (Ttl)</v>
      </c>
      <c r="C36" s="7" t="s">
        <v>354</v>
      </c>
      <c r="D36" s="7" t="s">
        <v>615</v>
      </c>
      <c r="E36" s="7" t="s">
        <v>452</v>
      </c>
      <c r="F36" s="5">
        <v>1</v>
      </c>
      <c r="G36" s="7" t="b">
        <v>1</v>
      </c>
      <c r="H36" s="5">
        <v>1</v>
      </c>
      <c r="I36" s="5" t="s">
        <v>1</v>
      </c>
      <c r="J36" s="5">
        <v>24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7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51" t="s">
        <v>709</v>
      </c>
      <c r="AR36" s="5">
        <v>2</v>
      </c>
      <c r="AS36" s="5">
        <v>48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J36" s="37"/>
      <c r="BK36" s="5" t="s">
        <v>0</v>
      </c>
      <c r="BL36" s="5">
        <v>0</v>
      </c>
      <c r="BM36" s="5" t="b">
        <v>0</v>
      </c>
      <c r="BT36" s="7" t="b">
        <v>1</v>
      </c>
      <c r="CO36" s="31" t="str">
        <f t="shared" ref="CO36:CO93" si="5">"."&amp;SUBSTITUTE(SUBSTITUTE(SUBSTITUTE(SUBSTITUTE(A36, "(",""),")","")," ",""),"#","")</f>
        <v>.TitleTtl</v>
      </c>
    </row>
    <row r="37" spans="1:98">
      <c r="A37" s="38" t="str">
        <f t="shared" si="0"/>
        <v>Main-Head (MHead)</v>
      </c>
      <c r="C37" s="7" t="s">
        <v>355</v>
      </c>
      <c r="D37" s="7" t="s">
        <v>660</v>
      </c>
      <c r="E37" s="7" t="s">
        <v>452</v>
      </c>
      <c r="F37" s="5">
        <v>1</v>
      </c>
      <c r="G37" s="7" t="b">
        <v>1</v>
      </c>
      <c r="H37" s="5">
        <v>1</v>
      </c>
      <c r="I37" s="5" t="s">
        <v>2</v>
      </c>
      <c r="J37" s="5">
        <v>20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51" t="s">
        <v>709</v>
      </c>
      <c r="AR37" s="5">
        <v>2</v>
      </c>
      <c r="AS37" s="5">
        <v>48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O37" s="31" t="str">
        <f t="shared" si="5"/>
        <v>.Main-HeadMHead</v>
      </c>
    </row>
    <row r="38" spans="1:98">
      <c r="A38" s="38" t="str">
        <f t="shared" si="0"/>
        <v>Subtitle (Sttl)</v>
      </c>
      <c r="C38" s="7" t="s">
        <v>356</v>
      </c>
      <c r="D38" s="7" t="s">
        <v>616</v>
      </c>
      <c r="E38" s="7" t="s">
        <v>452</v>
      </c>
      <c r="F38" s="5">
        <v>1</v>
      </c>
      <c r="G38" s="7" t="b">
        <v>0</v>
      </c>
      <c r="H38" s="5">
        <v>1</v>
      </c>
      <c r="I38" s="5" t="s">
        <v>67</v>
      </c>
      <c r="J38" s="5">
        <v>18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1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10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51" t="s">
        <v>709</v>
      </c>
      <c r="AR38" s="5">
        <v>2</v>
      </c>
      <c r="AS38" s="5">
        <v>48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CO38" s="31" t="str">
        <f t="shared" si="5"/>
        <v>.SubtitleSttl</v>
      </c>
    </row>
    <row r="39" spans="1:98">
      <c r="A39" s="38" t="str">
        <f t="shared" si="0"/>
        <v>Author1 (Au1)</v>
      </c>
      <c r="C39" s="7" t="s">
        <v>459</v>
      </c>
      <c r="D39" s="7" t="s">
        <v>461</v>
      </c>
      <c r="E39" s="7" t="s">
        <v>452</v>
      </c>
      <c r="F39" s="5">
        <v>3</v>
      </c>
      <c r="G39" s="7" t="b">
        <v>0</v>
      </c>
      <c r="H39" s="5">
        <v>1</v>
      </c>
      <c r="I39" s="5" t="s">
        <v>67</v>
      </c>
      <c r="J39" s="5">
        <v>14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51" t="s">
        <v>709</v>
      </c>
      <c r="AR39" s="5">
        <v>2</v>
      </c>
      <c r="AS39" s="5">
        <v>48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O39" s="31" t="str">
        <f t="shared" ref="CO39:CO40" si="6">"."&amp;SUBSTITUTE(SUBSTITUTE(SUBSTITUTE(SUBSTITUTE(A39, "(",""),")","")," ",""),"#","")</f>
        <v>.Author1Au1</v>
      </c>
    </row>
    <row r="40" spans="1:98">
      <c r="A40" s="38" t="str">
        <f t="shared" si="0"/>
        <v>Author2 (Au2)</v>
      </c>
      <c r="C40" s="7" t="s">
        <v>460</v>
      </c>
      <c r="D40" s="7" t="s">
        <v>462</v>
      </c>
      <c r="E40" s="7" t="s">
        <v>452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51" t="s">
        <v>709</v>
      </c>
      <c r="AR40" s="5">
        <v>2</v>
      </c>
      <c r="AS40" s="5">
        <v>48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O40" s="31" t="str">
        <f t="shared" si="6"/>
        <v>.Author2Au2</v>
      </c>
    </row>
    <row r="41" spans="1:98">
      <c r="A41" s="38" t="str">
        <f>IF($D41="","",TRIM($C41)&amp;" "&amp;CHAR(40)&amp;TRIM($D41)&amp;CHAR(41))</f>
        <v>Author3 (Au3)</v>
      </c>
      <c r="C41" s="7" t="s">
        <v>595</v>
      </c>
      <c r="D41" s="7" t="s">
        <v>596</v>
      </c>
      <c r="E41" s="7" t="s">
        <v>452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51" t="s">
        <v>709</v>
      </c>
      <c r="AR41" s="5">
        <v>2</v>
      </c>
      <c r="AS41" s="5">
        <v>48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O41" s="31" t="str">
        <f>"."&amp;SUBSTITUTE(SUBSTITUTE(SUBSTITUTE(SUBSTITUTE(A41, "(",""),")","")," ",""),"#","")</f>
        <v>.Author3Au3</v>
      </c>
    </row>
    <row r="42" spans="1:98">
      <c r="A42" s="38" t="str">
        <f t="shared" si="0"/>
        <v>A-Head (Ahead)</v>
      </c>
      <c r="C42" s="7" t="s">
        <v>358</v>
      </c>
      <c r="D42" s="7" t="s">
        <v>617</v>
      </c>
      <c r="E42" s="7" t="s">
        <v>452</v>
      </c>
      <c r="F42" s="5">
        <v>3</v>
      </c>
      <c r="G42" s="7" t="b">
        <v>1</v>
      </c>
      <c r="H42" s="5">
        <v>1</v>
      </c>
      <c r="I42" s="5" t="s">
        <v>2</v>
      </c>
      <c r="J42" s="5">
        <v>16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0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0</v>
      </c>
      <c r="AH42" s="7">
        <v>0</v>
      </c>
      <c r="AI42" s="7">
        <v>4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51" t="s">
        <v>709</v>
      </c>
      <c r="AR42" s="5">
        <v>2</v>
      </c>
      <c r="AS42" s="5">
        <v>48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BT42" s="7" t="b">
        <v>1</v>
      </c>
      <c r="CO42" s="31" t="str">
        <f t="shared" si="5"/>
        <v>.A-HeadAhead</v>
      </c>
    </row>
    <row r="43" spans="1:98">
      <c r="A43" s="38" t="str">
        <f t="shared" si="0"/>
        <v>B-Head (Bhead)</v>
      </c>
      <c r="C43" s="7" t="s">
        <v>359</v>
      </c>
      <c r="D43" s="7" t="s">
        <v>618</v>
      </c>
      <c r="E43" s="7" t="s">
        <v>452</v>
      </c>
      <c r="F43" s="5">
        <v>3</v>
      </c>
      <c r="G43" s="7" t="b">
        <v>1</v>
      </c>
      <c r="H43" s="5">
        <v>1</v>
      </c>
      <c r="I43" s="5" t="s">
        <v>1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5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51" t="s">
        <v>709</v>
      </c>
      <c r="AR43" s="5">
        <v>2</v>
      </c>
      <c r="AS43" s="5">
        <v>48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BT43" s="7" t="b">
        <v>1</v>
      </c>
      <c r="CO43" s="31" t="str">
        <f t="shared" si="5"/>
        <v>.B-HeadBhead</v>
      </c>
    </row>
    <row r="44" spans="1:98">
      <c r="A44" s="38" t="str">
        <f t="shared" si="0"/>
        <v>C-Head (Chead)</v>
      </c>
      <c r="C44" s="7" t="s">
        <v>360</v>
      </c>
      <c r="D44" s="7" t="s">
        <v>619</v>
      </c>
      <c r="E44" s="7" t="s">
        <v>452</v>
      </c>
      <c r="F44" s="5">
        <v>3</v>
      </c>
      <c r="G44" s="7" t="b">
        <v>0</v>
      </c>
      <c r="H44" s="5">
        <v>1</v>
      </c>
      <c r="I44" s="5" t="s">
        <v>68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6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51" t="s">
        <v>709</v>
      </c>
      <c r="AR44" s="5">
        <v>2</v>
      </c>
      <c r="AS44" s="5">
        <v>48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BT44" s="7" t="b">
        <v>1</v>
      </c>
      <c r="CO44" s="31" t="str">
        <f t="shared" si="5"/>
        <v>.C-HeadChead</v>
      </c>
    </row>
    <row r="45" spans="1:98">
      <c r="A45" s="38" t="str">
        <f t="shared" si="0"/>
        <v>D-Head (Dhead)</v>
      </c>
      <c r="C45" s="7" t="s">
        <v>361</v>
      </c>
      <c r="D45" s="7" t="s">
        <v>620</v>
      </c>
      <c r="E45" s="7" t="s">
        <v>452</v>
      </c>
      <c r="F45" s="5">
        <v>3</v>
      </c>
      <c r="G45" s="7" t="b">
        <v>0</v>
      </c>
      <c r="H45" s="5">
        <v>1</v>
      </c>
      <c r="I45" s="5" t="s">
        <v>2</v>
      </c>
      <c r="J45" s="5">
        <v>14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7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51" t="s">
        <v>709</v>
      </c>
      <c r="AR45" s="5">
        <v>2</v>
      </c>
      <c r="AS45" s="5">
        <v>48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BT45" s="7" t="b">
        <v>1</v>
      </c>
      <c r="CO45" s="31" t="str">
        <f t="shared" si="5"/>
        <v>.D-HeadDhead</v>
      </c>
    </row>
    <row r="46" spans="1:98">
      <c r="A46" s="38" t="str">
        <f t="shared" si="0"/>
        <v>E-Head (Ehead)</v>
      </c>
      <c r="C46" s="7" t="s">
        <v>362</v>
      </c>
      <c r="D46" s="7" t="s">
        <v>621</v>
      </c>
      <c r="E46" s="7" t="s">
        <v>452</v>
      </c>
      <c r="F46" s="5">
        <v>3</v>
      </c>
      <c r="G46" s="7" t="b">
        <v>0</v>
      </c>
      <c r="H46" s="5">
        <v>1</v>
      </c>
      <c r="I46" s="5" t="s">
        <v>1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8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51" t="s">
        <v>709</v>
      </c>
      <c r="AR46" s="5">
        <v>2</v>
      </c>
      <c r="AS46" s="5">
        <v>48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BT46" s="7" t="b">
        <v>1</v>
      </c>
      <c r="CO46" s="31" t="str">
        <f t="shared" si="5"/>
        <v>.E-HeadEhead</v>
      </c>
    </row>
    <row r="47" spans="1:98">
      <c r="A47" s="38" t="str">
        <f t="shared" si="0"/>
        <v>F-Head (Fhead)</v>
      </c>
      <c r="C47" s="7" t="s">
        <v>363</v>
      </c>
      <c r="D47" s="7" t="s">
        <v>622</v>
      </c>
      <c r="E47" s="7" t="s">
        <v>452</v>
      </c>
      <c r="F47" s="5">
        <v>3</v>
      </c>
      <c r="G47" s="7" t="b">
        <v>0</v>
      </c>
      <c r="H47" s="5">
        <v>1</v>
      </c>
      <c r="I47" s="5" t="s">
        <v>68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9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51" t="s">
        <v>709</v>
      </c>
      <c r="AR47" s="5">
        <v>2</v>
      </c>
      <c r="AS47" s="5">
        <v>48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BT47" s="7" t="b">
        <v>1</v>
      </c>
      <c r="CO47" s="31" t="str">
        <f t="shared" si="5"/>
        <v>.F-HeadFhead</v>
      </c>
    </row>
    <row r="48" spans="1:98">
      <c r="A48" s="38" t="str">
        <f t="shared" si="0"/>
        <v>Body-Text (Tx)</v>
      </c>
      <c r="C48" s="7" t="s">
        <v>364</v>
      </c>
      <c r="D48" s="7" t="s">
        <v>365</v>
      </c>
      <c r="E48" s="7" t="s">
        <v>452</v>
      </c>
      <c r="F48" s="5">
        <v>3</v>
      </c>
      <c r="G48" s="7" t="b">
        <v>1</v>
      </c>
      <c r="H48" s="5">
        <v>1</v>
      </c>
      <c r="I48" s="5" t="s">
        <v>67</v>
      </c>
      <c r="J48" s="5">
        <v>12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1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36</v>
      </c>
      <c r="AI48" s="7">
        <v>10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703</v>
      </c>
      <c r="AR48" s="5">
        <v>1</v>
      </c>
      <c r="AS48" s="5">
        <v>48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O48" s="31" t="s">
        <v>453</v>
      </c>
      <c r="CR48" s="7" t="b">
        <v>1</v>
      </c>
    </row>
    <row r="49" spans="1:93">
      <c r="A49" s="38" t="str">
        <f t="shared" si="0"/>
        <v>Body-Text-Continued (Txc)</v>
      </c>
      <c r="C49" s="7" t="s">
        <v>366</v>
      </c>
      <c r="D49" s="7" t="s">
        <v>367</v>
      </c>
      <c r="E49" s="7" t="s">
        <v>452</v>
      </c>
      <c r="F49" s="5">
        <v>3</v>
      </c>
      <c r="G49" s="7" t="b">
        <v>0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0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703</v>
      </c>
      <c r="AR49" s="5">
        <v>1</v>
      </c>
      <c r="AS49" s="5">
        <v>48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O49" s="31" t="str">
        <f t="shared" si="5"/>
        <v>.Body-Text-ContinuedTxc</v>
      </c>
    </row>
    <row r="50" spans="1:93">
      <c r="A50" s="38" t="str">
        <f t="shared" si="0"/>
        <v>Verse1 (Vrs1)</v>
      </c>
      <c r="C50" s="7" t="s">
        <v>463</v>
      </c>
      <c r="D50" s="7" t="s">
        <v>467</v>
      </c>
      <c r="E50" s="7" t="s">
        <v>479</v>
      </c>
      <c r="F50" s="5">
        <v>3</v>
      </c>
      <c r="G50" s="7" t="b">
        <v>1</v>
      </c>
      <c r="H50" s="5">
        <v>1</v>
      </c>
      <c r="I50" s="5" t="s">
        <v>67</v>
      </c>
      <c r="J50" s="5">
        <v>11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1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703</v>
      </c>
      <c r="AR50" s="5">
        <v>1</v>
      </c>
      <c r="AS50" s="5">
        <v>48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O50" s="31" t="str">
        <f t="shared" si="5"/>
        <v>.Verse1Vrs1</v>
      </c>
    </row>
    <row r="51" spans="1:93">
      <c r="A51" s="38" t="str">
        <f t="shared" si="0"/>
        <v>Verse1-indent1 (Vrs1-i1)</v>
      </c>
      <c r="C51" s="7" t="s">
        <v>464</v>
      </c>
      <c r="D51" s="7" t="s">
        <v>468</v>
      </c>
      <c r="E51" s="7" t="s">
        <v>479</v>
      </c>
      <c r="F51" s="5">
        <v>3</v>
      </c>
      <c r="G51" s="7" t="b">
        <v>0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0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703</v>
      </c>
      <c r="AR51" s="5">
        <v>1</v>
      </c>
      <c r="AS51" s="5">
        <v>48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O51" s="31" t="str">
        <f t="shared" ref="CO51:CO58" si="7">"."&amp;SUBSTITUTE(SUBSTITUTE(SUBSTITUTE(SUBSTITUTE(A51, "(",""),")","")," ",""),"#","")</f>
        <v>.Verse1-indent1Vrs1-i1</v>
      </c>
    </row>
    <row r="52" spans="1:93">
      <c r="A52" s="38" t="str">
        <f t="shared" si="0"/>
        <v>Verse1-indent2 (Vrs1-i2)</v>
      </c>
      <c r="C52" s="7" t="s">
        <v>465</v>
      </c>
      <c r="D52" s="7" t="s">
        <v>469</v>
      </c>
      <c r="E52" s="7" t="s">
        <v>479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0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703</v>
      </c>
      <c r="AR52" s="5">
        <v>1</v>
      </c>
      <c r="AS52" s="5">
        <v>48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O52" s="31" t="str">
        <f t="shared" si="7"/>
        <v>.Verse1-indent2Vrs1-i2</v>
      </c>
    </row>
    <row r="53" spans="1:93">
      <c r="A53" s="38" t="str">
        <f t="shared" si="0"/>
        <v>Verse1-indent3 (Vrs1-i3)</v>
      </c>
      <c r="C53" s="7" t="s">
        <v>466</v>
      </c>
      <c r="D53" s="7" t="s">
        <v>470</v>
      </c>
      <c r="E53" s="7" t="s">
        <v>479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0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703</v>
      </c>
      <c r="AR53" s="5">
        <v>1</v>
      </c>
      <c r="AS53" s="5">
        <v>48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CO53" s="31" t="str">
        <f t="shared" si="7"/>
        <v>.Verse1-indent3Vrs1-i3</v>
      </c>
    </row>
    <row r="54" spans="1:93">
      <c r="A54" s="38" t="str">
        <f t="shared" si="0"/>
        <v>Verse2 (Vrs2)</v>
      </c>
      <c r="C54" s="7" t="s">
        <v>471</v>
      </c>
      <c r="D54" s="7" t="s">
        <v>472</v>
      </c>
      <c r="E54" s="7" t="s">
        <v>480</v>
      </c>
      <c r="F54" s="5">
        <v>3</v>
      </c>
      <c r="G54" s="7" t="b">
        <v>1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0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703</v>
      </c>
      <c r="AR54" s="5">
        <v>18</v>
      </c>
      <c r="AS54" s="5">
        <v>12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CO54" s="31" t="str">
        <f t="shared" si="7"/>
        <v>.Verse2Vrs2</v>
      </c>
    </row>
    <row r="55" spans="1:93">
      <c r="A55" s="38" t="str">
        <f t="shared" si="0"/>
        <v>Verse2-indent1 (Vrs2-i1)</v>
      </c>
      <c r="C55" s="7" t="s">
        <v>473</v>
      </c>
      <c r="D55" s="7" t="s">
        <v>476</v>
      </c>
      <c r="E55" s="7" t="s">
        <v>480</v>
      </c>
      <c r="F55" s="5">
        <v>3</v>
      </c>
      <c r="G55" s="7" t="b">
        <v>0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0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703</v>
      </c>
      <c r="AR55" s="5">
        <v>18</v>
      </c>
      <c r="AS55" s="5">
        <v>12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CO55" s="31" t="str">
        <f t="shared" si="7"/>
        <v>.Verse2-indent1Vrs2-i1</v>
      </c>
    </row>
    <row r="56" spans="1:93">
      <c r="A56" s="38" t="str">
        <f t="shared" si="0"/>
        <v>Verse2-indent2 (Vrs2-i2)</v>
      </c>
      <c r="C56" s="7" t="s">
        <v>474</v>
      </c>
      <c r="D56" s="7" t="s">
        <v>477</v>
      </c>
      <c r="E56" s="7" t="s">
        <v>480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0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703</v>
      </c>
      <c r="AR56" s="5">
        <v>18</v>
      </c>
      <c r="AS56" s="5">
        <v>12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CO56" s="31" t="str">
        <f t="shared" si="7"/>
        <v>.Verse2-indent2Vrs2-i2</v>
      </c>
    </row>
    <row r="57" spans="1:93">
      <c r="A57" s="38" t="str">
        <f t="shared" si="0"/>
        <v>Verse2-indent3 (Vrs2-i3)</v>
      </c>
      <c r="C57" s="7" t="s">
        <v>475</v>
      </c>
      <c r="D57" s="7" t="s">
        <v>478</v>
      </c>
      <c r="E57" s="7" t="s">
        <v>480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0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703</v>
      </c>
      <c r="AR57" s="5">
        <v>18</v>
      </c>
      <c r="AS57" s="5">
        <v>12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CO57" s="31" t="str">
        <f t="shared" si="7"/>
        <v>.Verse2-indent3Vrs2-i3</v>
      </c>
    </row>
    <row r="58" spans="1:93">
      <c r="A58" s="38" t="str">
        <f t="shared" si="0"/>
        <v>Quotation (Quo)</v>
      </c>
      <c r="C58" s="7" t="s">
        <v>368</v>
      </c>
      <c r="D58" s="7" t="s">
        <v>599</v>
      </c>
      <c r="E58" s="7" t="s">
        <v>600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0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36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703</v>
      </c>
      <c r="AR58" s="5">
        <v>1</v>
      </c>
      <c r="AS58" s="5">
        <v>48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CO58" s="31" t="str">
        <f t="shared" si="7"/>
        <v>.QuotationQuo</v>
      </c>
    </row>
    <row r="59" spans="1:93">
      <c r="A59" s="38" t="str">
        <f t="shared" si="0"/>
        <v>Extract1 (Ext1)</v>
      </c>
      <c r="C59" s="7" t="s">
        <v>481</v>
      </c>
      <c r="D59" s="7" t="s">
        <v>482</v>
      </c>
      <c r="E59" s="7" t="s">
        <v>485</v>
      </c>
      <c r="F59" s="5">
        <v>3</v>
      </c>
      <c r="G59" s="7" t="b">
        <v>1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0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703</v>
      </c>
      <c r="AR59" s="5">
        <v>1</v>
      </c>
      <c r="AS59" s="5">
        <v>48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O59" s="31" t="str">
        <f t="shared" ref="CO59:CO60" si="8">"."&amp;SUBSTITUTE(SUBSTITUTE(SUBSTITUTE(SUBSTITUTE(A59, "(",""),")","")," ",""),"#","")</f>
        <v>.Extract1Ext1</v>
      </c>
    </row>
    <row r="60" spans="1:93">
      <c r="A60" s="38" t="str">
        <f t="shared" si="0"/>
        <v>Extract2 (Ext2)</v>
      </c>
      <c r="C60" s="7" t="s">
        <v>483</v>
      </c>
      <c r="D60" s="7" t="s">
        <v>484</v>
      </c>
      <c r="E60" s="7" t="s">
        <v>486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0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703</v>
      </c>
      <c r="AR60" s="5">
        <v>18</v>
      </c>
      <c r="AS60" s="5">
        <v>12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CO60" s="31" t="str">
        <f t="shared" si="8"/>
        <v>.Extract2Ext2</v>
      </c>
    </row>
    <row r="61" spans="1:93">
      <c r="A61" s="38" t="str">
        <f t="shared" si="0"/>
        <v>Source (Src)</v>
      </c>
      <c r="C61" s="7" t="s">
        <v>369</v>
      </c>
      <c r="D61" s="7" t="s">
        <v>370</v>
      </c>
      <c r="E61" s="7" t="s">
        <v>452</v>
      </c>
      <c r="F61" s="5">
        <v>3</v>
      </c>
      <c r="G61" s="7" t="b">
        <v>0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0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2</v>
      </c>
      <c r="AH61" s="7">
        <v>0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703</v>
      </c>
      <c r="AR61" s="5">
        <v>1</v>
      </c>
      <c r="AS61" s="5">
        <v>48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O61" s="31" t="str">
        <f t="shared" si="5"/>
        <v>.SourceSrc</v>
      </c>
    </row>
    <row r="62" spans="1:93">
      <c r="A62" s="38" t="str">
        <f t="shared" si="0"/>
        <v>Epigraph-Non-Verse (Epi)</v>
      </c>
      <c r="C62" s="7" t="s">
        <v>487</v>
      </c>
      <c r="D62" s="7" t="s">
        <v>488</v>
      </c>
      <c r="E62" s="7" t="s">
        <v>489</v>
      </c>
      <c r="F62" s="5">
        <v>3</v>
      </c>
      <c r="G62" s="7" t="b">
        <v>1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0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0</v>
      </c>
      <c r="AH62" s="7">
        <v>36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703</v>
      </c>
      <c r="AR62" s="5">
        <v>1</v>
      </c>
      <c r="AS62" s="5">
        <v>48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O62" s="31" t="str">
        <f t="shared" si="5"/>
        <v>.Epigraph-Non-VerseEpi</v>
      </c>
    </row>
    <row r="63" spans="1:93">
      <c r="A63" s="38" t="str">
        <f t="shared" si="0"/>
        <v>Epigraph-Verse (Epiv)</v>
      </c>
      <c r="C63" s="7" t="s">
        <v>490</v>
      </c>
      <c r="D63" s="7" t="s">
        <v>491</v>
      </c>
      <c r="E63" s="7" t="s">
        <v>492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0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0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703</v>
      </c>
      <c r="AR63" s="5">
        <v>1</v>
      </c>
      <c r="AS63" s="5">
        <v>48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CO63" s="31" t="str">
        <f t="shared" si="5"/>
        <v>.Epigraph-VerseEpiv</v>
      </c>
    </row>
    <row r="64" spans="1:93">
      <c r="A64" s="38" t="str">
        <f t="shared" si="0"/>
        <v>Epigraph-Source (Eps)</v>
      </c>
      <c r="C64" s="7" t="s">
        <v>493</v>
      </c>
      <c r="D64" s="7" t="s">
        <v>494</v>
      </c>
      <c r="E64" s="7" t="s">
        <v>452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0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703</v>
      </c>
      <c r="AR64" s="5">
        <v>1</v>
      </c>
      <c r="AS64" s="5">
        <v>48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CO64" s="31" t="str">
        <f t="shared" si="5"/>
        <v>.Epigraph-SourceEps</v>
      </c>
    </row>
    <row r="65" spans="1:93">
      <c r="A65" s="38" t="str">
        <f t="shared" si="0"/>
        <v>Headnote (Hdnt)</v>
      </c>
      <c r="C65" s="7" t="s">
        <v>357</v>
      </c>
      <c r="D65" s="7" t="s">
        <v>623</v>
      </c>
      <c r="E65" s="7" t="s">
        <v>452</v>
      </c>
      <c r="F65" s="5">
        <v>3</v>
      </c>
      <c r="G65" s="7" t="b">
        <v>0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0</v>
      </c>
      <c r="Y65" s="5" t="b">
        <v>0</v>
      </c>
      <c r="Z65" s="5" t="b">
        <v>0</v>
      </c>
      <c r="AA65" s="7">
        <v>0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0</v>
      </c>
      <c r="AH65" s="7">
        <v>36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703</v>
      </c>
      <c r="AR65" s="5">
        <v>1</v>
      </c>
      <c r="AS65" s="5">
        <v>48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CO65" s="31" t="str">
        <f t="shared" ref="CO65" si="9">"."&amp;SUBSTITUTE(SUBSTITUTE(SUBSTITUTE(SUBSTITUTE(A65, "(",""),")","")," ",""),"#","")</f>
        <v>.HeadnoteHdnt</v>
      </c>
    </row>
    <row r="66" spans="1:93">
      <c r="A66" s="38" t="str">
        <f t="shared" si="0"/>
        <v>Dateline (Date)</v>
      </c>
      <c r="C66" s="7" t="s">
        <v>371</v>
      </c>
      <c r="D66" s="7" t="s">
        <v>372</v>
      </c>
      <c r="E66" s="7" t="s">
        <v>614</v>
      </c>
      <c r="F66" s="5">
        <v>3</v>
      </c>
      <c r="G66" s="7" t="b">
        <v>0</v>
      </c>
      <c r="H66" s="5">
        <v>1</v>
      </c>
      <c r="I66" s="5" t="s">
        <v>1</v>
      </c>
      <c r="J66" s="5">
        <v>10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0</v>
      </c>
      <c r="AH66" s="7">
        <v>0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703</v>
      </c>
      <c r="AR66" s="5">
        <v>1</v>
      </c>
      <c r="AS66" s="5">
        <v>48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O66" s="31" t="str">
        <f t="shared" si="5"/>
        <v>.DatelineDate</v>
      </c>
    </row>
    <row r="67" spans="1:93">
      <c r="A67" s="38" t="str">
        <f t="shared" si="0"/>
        <v>Address (Add)</v>
      </c>
      <c r="C67" s="7" t="s">
        <v>203</v>
      </c>
      <c r="D67" s="7" t="s">
        <v>373</v>
      </c>
      <c r="E67" s="38" t="str">
        <f t="shared" ref="E67:E117" si="10">IF($D67="","",TRIM($C67)&amp;" "&amp;CHAR(40)&amp;TRIM($D67)&amp;CHAR(41))</f>
        <v>Address (Add)</v>
      </c>
      <c r="F67" s="5">
        <v>3</v>
      </c>
      <c r="G67" s="7" t="b">
        <v>0</v>
      </c>
      <c r="H67" s="5">
        <v>1</v>
      </c>
      <c r="I67" s="5" t="s">
        <v>1</v>
      </c>
      <c r="J67" s="5">
        <v>10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703</v>
      </c>
      <c r="AR67" s="5">
        <v>1</v>
      </c>
      <c r="AS67" s="5">
        <v>48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O67" s="31" t="str">
        <f t="shared" si="5"/>
        <v>.AddressAdd</v>
      </c>
    </row>
    <row r="68" spans="1:93">
      <c r="A68" s="38" t="str">
        <f t="shared" si="0"/>
        <v>Location (Loc)</v>
      </c>
      <c r="C68" s="7" t="s">
        <v>374</v>
      </c>
      <c r="D68" s="7" t="s">
        <v>375</v>
      </c>
      <c r="E68" s="38" t="str">
        <f t="shared" si="10"/>
        <v>Location (Loc)</v>
      </c>
      <c r="F68" s="5">
        <v>3</v>
      </c>
      <c r="G68" s="7" t="b">
        <v>0</v>
      </c>
      <c r="H68" s="5">
        <v>1</v>
      </c>
      <c r="I68" s="5" t="s">
        <v>1</v>
      </c>
      <c r="J68" s="5">
        <v>10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703</v>
      </c>
      <c r="AR68" s="5">
        <v>1</v>
      </c>
      <c r="AS68" s="5">
        <v>48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O68" s="31" t="str">
        <f t="shared" si="5"/>
        <v>.LocationLoc</v>
      </c>
    </row>
    <row r="69" spans="1:93">
      <c r="A69" s="38" t="str">
        <f t="shared" si="0"/>
        <v>Signature (Sig)</v>
      </c>
      <c r="C69" s="7" t="s">
        <v>376</v>
      </c>
      <c r="D69" s="7" t="s">
        <v>377</v>
      </c>
      <c r="E69" s="38" t="str">
        <f t="shared" si="10"/>
        <v>Signature (Sig)</v>
      </c>
      <c r="F69" s="5">
        <v>3</v>
      </c>
      <c r="G69" s="7" t="b">
        <v>0</v>
      </c>
      <c r="H69" s="5">
        <v>1</v>
      </c>
      <c r="I69" s="5" t="s">
        <v>1</v>
      </c>
      <c r="J69" s="5">
        <v>10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2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703</v>
      </c>
      <c r="AR69" s="5">
        <v>1</v>
      </c>
      <c r="AS69" s="5">
        <v>48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O69" s="31" t="str">
        <f t="shared" si="5"/>
        <v>.SignatureSig</v>
      </c>
    </row>
    <row r="70" spans="1:93">
      <c r="A70" s="38" t="str">
        <f t="shared" si="0"/>
        <v>Salutation (Sal)</v>
      </c>
      <c r="C70" s="7" t="s">
        <v>378</v>
      </c>
      <c r="D70" s="7" t="s">
        <v>379</v>
      </c>
      <c r="E70" s="38" t="str">
        <f t="shared" si="10"/>
        <v>Salutation (Sal)</v>
      </c>
      <c r="F70" s="5">
        <v>3</v>
      </c>
      <c r="G70" s="7" t="b">
        <v>0</v>
      </c>
      <c r="H70" s="5">
        <v>1</v>
      </c>
      <c r="I70" s="5" t="s">
        <v>1</v>
      </c>
      <c r="J70" s="5">
        <v>10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0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703</v>
      </c>
      <c r="AR70" s="5">
        <v>1</v>
      </c>
      <c r="AS70" s="5">
        <v>48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O70" s="31" t="str">
        <f t="shared" si="5"/>
        <v>.SalutationSal</v>
      </c>
    </row>
    <row r="71" spans="1:93">
      <c r="A71" s="38" t="str">
        <f t="shared" si="0"/>
        <v>Closing (Clos)</v>
      </c>
      <c r="C71" s="7" t="s">
        <v>380</v>
      </c>
      <c r="D71" s="7" t="s">
        <v>624</v>
      </c>
      <c r="E71" s="38" t="str">
        <f t="shared" si="10"/>
        <v>Closing (Clos)</v>
      </c>
      <c r="F71" s="5">
        <v>3</v>
      </c>
      <c r="G71" s="7" t="b">
        <v>0</v>
      </c>
      <c r="H71" s="5">
        <v>1</v>
      </c>
      <c r="I71" s="5" t="s">
        <v>1</v>
      </c>
      <c r="J71" s="5">
        <v>10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2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703</v>
      </c>
      <c r="AR71" s="5">
        <v>1</v>
      </c>
      <c r="AS71" s="5">
        <v>48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O71" s="31" t="str">
        <f t="shared" si="5"/>
        <v>.ClosingClos</v>
      </c>
    </row>
    <row r="72" spans="1:93">
      <c r="A72" s="38" t="str">
        <f t="shared" si="0"/>
        <v>Postscript (Pst)</v>
      </c>
      <c r="C72" s="7" t="s">
        <v>381</v>
      </c>
      <c r="D72" s="7" t="s">
        <v>382</v>
      </c>
      <c r="E72" s="38" t="str">
        <f t="shared" si="10"/>
        <v>Postscript (Pst)</v>
      </c>
      <c r="F72" s="5">
        <v>3</v>
      </c>
      <c r="G72" s="7" t="b">
        <v>0</v>
      </c>
      <c r="H72" s="5">
        <v>1</v>
      </c>
      <c r="I72" s="5" t="s">
        <v>1</v>
      </c>
      <c r="J72" s="5">
        <v>10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0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703</v>
      </c>
      <c r="AR72" s="5">
        <v>1</v>
      </c>
      <c r="AS72" s="5">
        <v>48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O72" s="31" t="str">
        <f t="shared" si="5"/>
        <v>.PostscriptPst</v>
      </c>
    </row>
    <row r="73" spans="1:93">
      <c r="A73" s="38" t="str">
        <f t="shared" si="0"/>
        <v>Dedication (Ded)</v>
      </c>
      <c r="C73" s="7" t="s">
        <v>205</v>
      </c>
      <c r="D73" s="7" t="s">
        <v>383</v>
      </c>
      <c r="E73" s="38" t="str">
        <f t="shared" si="10"/>
        <v>Dedication (Ded)</v>
      </c>
      <c r="F73" s="5">
        <v>3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0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1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703</v>
      </c>
      <c r="AR73" s="5">
        <v>1</v>
      </c>
      <c r="AS73" s="5">
        <v>48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O73" s="31" t="str">
        <f t="shared" si="5"/>
        <v>.DedicationDed</v>
      </c>
    </row>
    <row r="74" spans="1:93">
      <c r="A74" s="38" t="str">
        <f t="shared" si="0"/>
        <v>Text-Message (Tmg)</v>
      </c>
      <c r="C74" s="7" t="s">
        <v>384</v>
      </c>
      <c r="D74" s="7" t="s">
        <v>385</v>
      </c>
      <c r="E74" s="38" t="str">
        <f t="shared" si="10"/>
        <v>Text-Message (Tmg)</v>
      </c>
      <c r="F74" s="5">
        <v>3</v>
      </c>
      <c r="G74" s="7" t="b">
        <v>0</v>
      </c>
      <c r="H74" s="5">
        <v>1</v>
      </c>
      <c r="I74" s="5" t="s">
        <v>72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703</v>
      </c>
      <c r="AR74" s="5">
        <v>1</v>
      </c>
      <c r="AS74" s="5">
        <v>48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O74" s="31" t="str">
        <f t="shared" si="5"/>
        <v>.Text-MessageTmg</v>
      </c>
    </row>
    <row r="75" spans="1:93">
      <c r="A75" s="38" t="str">
        <f t="shared" si="0"/>
        <v>Computer-Text (Comp)</v>
      </c>
      <c r="C75" s="7" t="s">
        <v>495</v>
      </c>
      <c r="D75" s="7" t="s">
        <v>496</v>
      </c>
      <c r="E75" s="38" t="s">
        <v>497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0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1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703</v>
      </c>
      <c r="AR75" s="5">
        <v>1</v>
      </c>
      <c r="AS75" s="5">
        <v>48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O75" s="31" t="str">
        <f t="shared" ref="CO75:CO79" si="11">"."&amp;SUBSTITUTE(SUBSTITUTE(SUBSTITUTE(SUBSTITUTE(A75, "(",""),")","")," ",""),"#","")</f>
        <v>.Computer-TextComp</v>
      </c>
    </row>
    <row r="76" spans="1:93">
      <c r="A76" s="38" t="str">
        <f t="shared" si="0"/>
        <v>Custom1 (Cust1)</v>
      </c>
      <c r="C76" s="7" t="s">
        <v>589</v>
      </c>
      <c r="D76" s="7" t="s">
        <v>592</v>
      </c>
      <c r="E76" s="38" t="s">
        <v>597</v>
      </c>
      <c r="F76" s="5">
        <v>3</v>
      </c>
      <c r="G76" s="7" t="b">
        <v>0</v>
      </c>
      <c r="H76" s="5">
        <v>1</v>
      </c>
      <c r="I76" s="5" t="s">
        <v>67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0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703</v>
      </c>
      <c r="AR76" s="5">
        <v>1</v>
      </c>
      <c r="AS76" s="5">
        <v>48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O76" s="31" t="str">
        <f t="shared" si="11"/>
        <v>.Custom1Cust1</v>
      </c>
    </row>
    <row r="77" spans="1:93">
      <c r="A77" s="38" t="str">
        <f t="shared" si="0"/>
        <v>Custom2 (Cust2)</v>
      </c>
      <c r="C77" s="7" t="s">
        <v>590</v>
      </c>
      <c r="D77" s="7" t="s">
        <v>591</v>
      </c>
      <c r="E77" s="38" t="s">
        <v>598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703</v>
      </c>
      <c r="AR77" s="5">
        <v>18</v>
      </c>
      <c r="AS77" s="5">
        <v>12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O77" s="31" t="str">
        <f t="shared" si="11"/>
        <v>.Custom2Cust2</v>
      </c>
    </row>
    <row r="78" spans="1:93">
      <c r="A78" s="38" t="str">
        <f t="shared" si="0"/>
        <v>Display1 (Disp1)</v>
      </c>
      <c r="C78" s="7" t="s">
        <v>498</v>
      </c>
      <c r="D78" s="7" t="s">
        <v>499</v>
      </c>
      <c r="E78" s="38" t="s">
        <v>500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703</v>
      </c>
      <c r="AR78" s="5">
        <v>1</v>
      </c>
      <c r="AS78" s="5">
        <v>48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O78" s="31" t="str">
        <f t="shared" si="11"/>
        <v>.Display1Disp1</v>
      </c>
    </row>
    <row r="79" spans="1:93">
      <c r="A79" s="38" t="str">
        <f t="shared" si="0"/>
        <v>Display2 (Disp2)</v>
      </c>
      <c r="C79" s="7" t="s">
        <v>501</v>
      </c>
      <c r="D79" s="7" t="s">
        <v>502</v>
      </c>
      <c r="E79" s="38" t="s">
        <v>503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703</v>
      </c>
      <c r="AR79" s="5">
        <v>18</v>
      </c>
      <c r="AS79" s="5">
        <v>12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O79" s="31" t="str">
        <f t="shared" si="11"/>
        <v>.Display2Disp2</v>
      </c>
    </row>
    <row r="80" spans="1:93">
      <c r="A80" s="38" t="str">
        <f>IF($D80="","",TRIM($C80)&amp;" "&amp;CHAR(40)&amp;TRIM($D80)&amp;CHAR(41))</f>
        <v>Table-Head (Tbhd)</v>
      </c>
      <c r="C80" s="7" t="s">
        <v>504</v>
      </c>
      <c r="D80" s="7" t="s">
        <v>505</v>
      </c>
      <c r="E80" s="38" t="s">
        <v>506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703</v>
      </c>
      <c r="AR80" s="5">
        <v>1</v>
      </c>
      <c r="AS80" s="5">
        <v>48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O80" s="31" t="str">
        <f t="shared" ref="CO80:CO84" si="12">"."&amp;SUBSTITUTE(SUBSTITUTE(SUBSTITUTE(SUBSTITUTE(A80, "(",""),")","")," ",""),"#","")</f>
        <v>.Table-HeadTbhd</v>
      </c>
    </row>
    <row r="81" spans="1:93">
      <c r="A81" s="38" t="str">
        <f>IF($D81="","",TRIM($C81)&amp;" "&amp;CHAR(40)&amp;TRIM($D81)&amp;CHAR(41))</f>
        <v>Table-Subhead (Tbsbhd)</v>
      </c>
      <c r="C81" s="7" t="s">
        <v>507</v>
      </c>
      <c r="D81" s="7" t="s">
        <v>508</v>
      </c>
      <c r="E81" s="38" t="s">
        <v>506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703</v>
      </c>
      <c r="AR81" s="5">
        <v>1</v>
      </c>
      <c r="AS81" s="5">
        <v>48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O81" s="31" t="str">
        <f t="shared" si="12"/>
        <v>.Table-SubheadTbsbhd</v>
      </c>
    </row>
    <row r="82" spans="1:93">
      <c r="A82" s="38" t="str">
        <f>IF($D82="","",TRIM($C82)&amp;" "&amp;CHAR(40)&amp;TRIM($D82)&amp;CHAR(41))</f>
        <v>Table-Text (Tbtx)</v>
      </c>
      <c r="C82" s="7" t="s">
        <v>509</v>
      </c>
      <c r="D82" s="7" t="s">
        <v>510</v>
      </c>
      <c r="E82" s="38" t="s">
        <v>506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703</v>
      </c>
      <c r="AR82" s="5">
        <v>1</v>
      </c>
      <c r="AS82" s="5">
        <v>48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O82" s="31" t="str">
        <f t="shared" si="12"/>
        <v>.Table-TextTbtx</v>
      </c>
    </row>
    <row r="83" spans="1:93">
      <c r="A83" s="38" t="str">
        <f>IF($D83="","",TRIM($C83)&amp;" "&amp;CHAR(40)&amp;TRIM($D83)&amp;CHAR(41))</f>
        <v>Headline (Hdline)</v>
      </c>
      <c r="C83" s="7" t="s">
        <v>511</v>
      </c>
      <c r="D83" s="7" t="s">
        <v>625</v>
      </c>
      <c r="E83" s="7" t="s">
        <v>452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703</v>
      </c>
      <c r="AR83" s="5">
        <v>1</v>
      </c>
      <c r="AS83" s="5">
        <v>48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O83" s="31" t="str">
        <f t="shared" si="12"/>
        <v>.HeadlineHdline</v>
      </c>
    </row>
    <row r="84" spans="1:93">
      <c r="A84" s="38" t="str">
        <f t="shared" si="0"/>
        <v>Byline (Byline)</v>
      </c>
      <c r="C84" s="7" t="s">
        <v>512</v>
      </c>
      <c r="D84" s="7" t="s">
        <v>512</v>
      </c>
      <c r="E84" s="7" t="s">
        <v>452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0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703</v>
      </c>
      <c r="AR84" s="5">
        <v>1</v>
      </c>
      <c r="AS84" s="5">
        <v>48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O84" s="31" t="str">
        <f t="shared" si="12"/>
        <v>.BylineByline</v>
      </c>
    </row>
    <row r="85" spans="1:93">
      <c r="A85" s="38" t="str">
        <f t="shared" si="0"/>
        <v>Bullet-Level-1-List (Bl1)</v>
      </c>
      <c r="C85" s="7" t="s">
        <v>386</v>
      </c>
      <c r="D85" s="7" t="s">
        <v>626</v>
      </c>
      <c r="E85" s="38" t="str">
        <f t="shared" si="10"/>
        <v>Bullet-Level-1-List (Bl1)</v>
      </c>
      <c r="F85" s="5">
        <v>3</v>
      </c>
      <c r="G85" s="7" t="b">
        <v>1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1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0</v>
      </c>
      <c r="AH85" s="7">
        <v>-18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703</v>
      </c>
      <c r="AR85" s="5">
        <v>12</v>
      </c>
      <c r="AS85" s="5">
        <v>24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O85" s="31" t="str">
        <f t="shared" si="5"/>
        <v>.Bullet-Level-1-ListBl1</v>
      </c>
    </row>
    <row r="86" spans="1:93">
      <c r="A86" s="38" t="str">
        <f t="shared" si="0"/>
        <v>Bullet-Level-1-List-Paragraph (Bl1p)</v>
      </c>
      <c r="C86" s="7" t="s">
        <v>513</v>
      </c>
      <c r="D86" s="7" t="s">
        <v>627</v>
      </c>
      <c r="E86" s="38" t="str">
        <f t="shared" si="10"/>
        <v>Bullet-Level-1-List-Paragraph (Bl1p)</v>
      </c>
      <c r="F86" s="5">
        <v>3</v>
      </c>
      <c r="G86" s="7" t="b">
        <v>0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0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703</v>
      </c>
      <c r="AR86" s="5">
        <v>12</v>
      </c>
      <c r="AS86" s="5">
        <v>24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O86" s="31" t="str">
        <f t="shared" ref="CO86" si="13">"."&amp;SUBSTITUTE(SUBSTITUTE(SUBSTITUTE(SUBSTITUTE(A86, "(",""),")","")," ",""),"#","")</f>
        <v>.Bullet-Level-1-List-ParagraphBl1p</v>
      </c>
    </row>
    <row r="87" spans="1:93">
      <c r="A87" s="38" t="str">
        <f t="shared" si="0"/>
        <v>Bullet-Level-2-List (Bl2)</v>
      </c>
      <c r="C87" s="7" t="s">
        <v>387</v>
      </c>
      <c r="D87" s="7" t="s">
        <v>628</v>
      </c>
      <c r="E87" s="38" t="str">
        <f t="shared" si="10"/>
        <v>Bullet-Level-2-List (Bl2)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0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-18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703</v>
      </c>
      <c r="AR87" s="5">
        <v>12</v>
      </c>
      <c r="AS87" s="5">
        <v>24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O87" s="31" t="str">
        <f t="shared" si="5"/>
        <v>.Bullet-Level-2-ListBl2</v>
      </c>
    </row>
    <row r="88" spans="1:93">
      <c r="A88" s="38" t="str">
        <f t="shared" si="0"/>
        <v>Bullet-Level-2-List-Paragraph (Bl2p)</v>
      </c>
      <c r="C88" s="7" t="s">
        <v>514</v>
      </c>
      <c r="D88" s="7" t="s">
        <v>629</v>
      </c>
      <c r="E88" s="38" t="str">
        <f t="shared" si="10"/>
        <v>Bullet-Level-2-List-Paragraph (Bl2p)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703</v>
      </c>
      <c r="AR88" s="5">
        <v>12</v>
      </c>
      <c r="AS88" s="5">
        <v>24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O88" s="31" t="str">
        <f t="shared" ref="CO88" si="14">"."&amp;SUBSTITUTE(SUBSTITUTE(SUBSTITUTE(SUBSTITUTE(A88, "(",""),")","")," ",""),"#","")</f>
        <v>.Bullet-Level-2-List-ParagraphBl2p</v>
      </c>
    </row>
    <row r="89" spans="1:93">
      <c r="A89" s="38" t="str">
        <f t="shared" si="0"/>
        <v>Bullet-Level-3-List (Bl3)</v>
      </c>
      <c r="C89" s="7" t="s">
        <v>388</v>
      </c>
      <c r="D89" s="7" t="s">
        <v>630</v>
      </c>
      <c r="E89" s="38" t="str">
        <f t="shared" si="10"/>
        <v>Bullet-Level-3-List (Bl3)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0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-18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703</v>
      </c>
      <c r="AR89" s="5">
        <v>12</v>
      </c>
      <c r="AS89" s="5">
        <v>24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O89" s="31" t="str">
        <f t="shared" si="5"/>
        <v>.Bullet-Level-3-ListBl3</v>
      </c>
    </row>
    <row r="90" spans="1:93">
      <c r="A90" s="38" t="str">
        <f t="shared" si="0"/>
        <v>Bullet-Level-3-List-Paragraph (Bl3p)</v>
      </c>
      <c r="C90" s="7" t="s">
        <v>515</v>
      </c>
      <c r="D90" s="7" t="s">
        <v>631</v>
      </c>
      <c r="E90" s="38" t="str">
        <f t="shared" si="10"/>
        <v>Bullet-Level-3-List-Paragraph (Bl3p)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0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703</v>
      </c>
      <c r="AR90" s="5">
        <v>12</v>
      </c>
      <c r="AS90" s="5">
        <v>24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O90" s="31" t="str">
        <f t="shared" ref="CO90" si="15">"."&amp;SUBSTITUTE(SUBSTITUTE(SUBSTITUTE(SUBSTITUTE(A90, "(",""),")","")," ",""),"#","")</f>
        <v>.Bullet-Level-3-List-ParagraphBl3p</v>
      </c>
    </row>
    <row r="91" spans="1:93">
      <c r="A91" s="38" t="str">
        <f t="shared" si="0"/>
        <v>Num-Level-1-List (Nl1)</v>
      </c>
      <c r="C91" s="7" t="s">
        <v>389</v>
      </c>
      <c r="D91" s="7" t="s">
        <v>632</v>
      </c>
      <c r="E91" s="38" t="str">
        <f t="shared" si="10"/>
        <v>Num-Level-1-List (Nl1)</v>
      </c>
      <c r="F91" s="5">
        <v>3</v>
      </c>
      <c r="G91" s="7" t="b">
        <v>1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0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-18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703</v>
      </c>
      <c r="AR91" s="5">
        <v>12</v>
      </c>
      <c r="AS91" s="5">
        <v>24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O91" s="31" t="str">
        <f t="shared" si="5"/>
        <v>.Num-Level-1-ListNl1</v>
      </c>
    </row>
    <row r="92" spans="1:93">
      <c r="A92" s="38" t="str">
        <f t="shared" si="0"/>
        <v>Num-Level-1-List-Paragraph (Nl1p)</v>
      </c>
      <c r="C92" s="7" t="s">
        <v>516</v>
      </c>
      <c r="D92" s="7" t="s">
        <v>633</v>
      </c>
      <c r="E92" s="38" t="str">
        <f t="shared" si="10"/>
        <v>Num-Level-1-List-Paragraph (Nl1p)</v>
      </c>
      <c r="F92" s="5">
        <v>3</v>
      </c>
      <c r="G92" s="7" t="b">
        <v>0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0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-18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703</v>
      </c>
      <c r="AR92" s="5">
        <v>12</v>
      </c>
      <c r="AS92" s="5">
        <v>24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O92" s="31" t="str">
        <f t="shared" ref="CO92" si="16">"."&amp;SUBSTITUTE(SUBSTITUTE(SUBSTITUTE(SUBSTITUTE(A92, "(",""),")","")," ",""),"#","")</f>
        <v>.Num-Level-1-List-ParagraphNl1p</v>
      </c>
    </row>
    <row r="93" spans="1:93">
      <c r="A93" s="38" t="str">
        <f t="shared" si="0"/>
        <v>Num-Level-2-List (Nl2)</v>
      </c>
      <c r="C93" s="7" t="s">
        <v>390</v>
      </c>
      <c r="D93" s="7" t="s">
        <v>634</v>
      </c>
      <c r="E93" s="38" t="str">
        <f t="shared" si="10"/>
        <v>Num-Level-2-List (Nl2)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0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-18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703</v>
      </c>
      <c r="AR93" s="5">
        <v>12</v>
      </c>
      <c r="AS93" s="5">
        <v>24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O93" s="31" t="str">
        <f t="shared" si="5"/>
        <v>.Num-Level-2-ListNl2</v>
      </c>
    </row>
    <row r="94" spans="1:93">
      <c r="A94" s="38" t="str">
        <f t="shared" si="0"/>
        <v>Num-Level-2-List-Paragraph (Nl2p)</v>
      </c>
      <c r="C94" s="7" t="s">
        <v>517</v>
      </c>
      <c r="D94" s="7" t="s">
        <v>635</v>
      </c>
      <c r="E94" s="38" t="str">
        <f t="shared" si="10"/>
        <v>Num-Level-2-List-Paragraph (Nl2p)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0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-18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703</v>
      </c>
      <c r="AR94" s="5">
        <v>12</v>
      </c>
      <c r="AS94" s="5">
        <v>24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O94" s="31" t="str">
        <f t="shared" ref="CO94" si="17">"."&amp;SUBSTITUTE(SUBSTITUTE(SUBSTITUTE(SUBSTITUTE(A94, "(",""),")","")," ",""),"#","")</f>
        <v>.Num-Level-2-List-ParagraphNl2p</v>
      </c>
    </row>
    <row r="95" spans="1:93">
      <c r="A95" s="38" t="str">
        <f t="shared" si="0"/>
        <v>Num-Level-3-List (Nl3)</v>
      </c>
      <c r="C95" s="7" t="s">
        <v>391</v>
      </c>
      <c r="D95" s="7" t="s">
        <v>636</v>
      </c>
      <c r="E95" s="38" t="str">
        <f t="shared" si="10"/>
        <v>Num-Level-3-List (Nl3)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0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-18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703</v>
      </c>
      <c r="AR95" s="5">
        <v>12</v>
      </c>
      <c r="AS95" s="5">
        <v>24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O95" s="31" t="str">
        <f t="shared" ref="CO95:CO141" si="18">"."&amp;SUBSTITUTE(SUBSTITUTE(SUBSTITUTE(SUBSTITUTE(A95, "(",""),")","")," ",""),"#","")</f>
        <v>.Num-Level-3-ListNl3</v>
      </c>
    </row>
    <row r="96" spans="1:93">
      <c r="A96" s="38" t="str">
        <f t="shared" si="0"/>
        <v>Num-Level-3-List-Paragraoh (Nl3p)</v>
      </c>
      <c r="C96" s="7" t="s">
        <v>594</v>
      </c>
      <c r="D96" s="7" t="s">
        <v>637</v>
      </c>
      <c r="E96" s="38" t="str">
        <f t="shared" si="10"/>
        <v>Num-Level-3-List-Paragraoh (Nl3p)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0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-18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703</v>
      </c>
      <c r="AR96" s="5">
        <v>12</v>
      </c>
      <c r="AS96" s="5">
        <v>24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O96" s="31" t="str">
        <f t="shared" ref="CO96" si="19">"."&amp;SUBSTITUTE(SUBSTITUTE(SUBSTITUTE(SUBSTITUTE(A96, "(",""),")","")," ",""),"#","")</f>
        <v>.Num-Level-3-List-ParagraohNl3p</v>
      </c>
    </row>
    <row r="97" spans="1:93">
      <c r="A97" s="38" t="str">
        <f t="shared" si="0"/>
        <v>Unnum-Level-1-List (Ul1)</v>
      </c>
      <c r="C97" s="7" t="s">
        <v>392</v>
      </c>
      <c r="D97" s="7" t="s">
        <v>638</v>
      </c>
      <c r="E97" s="38" t="str">
        <f t="shared" si="10"/>
        <v>Unnum-Level-1-List (Ul1)</v>
      </c>
      <c r="F97" s="5">
        <v>3</v>
      </c>
      <c r="G97" s="7" t="b">
        <v>1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0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-18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703</v>
      </c>
      <c r="AR97" s="5">
        <v>12</v>
      </c>
      <c r="AS97" s="5">
        <v>24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O97" s="31" t="str">
        <f t="shared" si="18"/>
        <v>.Unnum-Level-1-ListUl1</v>
      </c>
    </row>
    <row r="98" spans="1:93">
      <c r="A98" s="38" t="str">
        <f t="shared" si="0"/>
        <v>Unnum-Level-1-List-Paragraph (Ul1p)</v>
      </c>
      <c r="C98" s="7" t="s">
        <v>518</v>
      </c>
      <c r="D98" s="7" t="s">
        <v>639</v>
      </c>
      <c r="E98" s="38" t="str">
        <f t="shared" si="10"/>
        <v>Unnum-Level-1-List-Paragraph (Ul1p)</v>
      </c>
      <c r="F98" s="5">
        <v>3</v>
      </c>
      <c r="G98" s="7" t="b">
        <v>0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0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-18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703</v>
      </c>
      <c r="AR98" s="5">
        <v>12</v>
      </c>
      <c r="AS98" s="5">
        <v>24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O98" s="31" t="str">
        <f t="shared" ref="CO98" si="20">"."&amp;SUBSTITUTE(SUBSTITUTE(SUBSTITUTE(SUBSTITUTE(A98, "(",""),")","")," ",""),"#","")</f>
        <v>.Unnum-Level-1-List-ParagraphUl1p</v>
      </c>
    </row>
    <row r="99" spans="1:93">
      <c r="A99" s="38" t="str">
        <f t="shared" si="0"/>
        <v>Unnum-Level-2-List (Ul2)</v>
      </c>
      <c r="C99" s="7" t="s">
        <v>393</v>
      </c>
      <c r="D99" s="7" t="s">
        <v>640</v>
      </c>
      <c r="E99" s="38" t="str">
        <f t="shared" si="10"/>
        <v>Unnum-Level-2-List (Ul2)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0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-18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703</v>
      </c>
      <c r="AR99" s="5">
        <v>12</v>
      </c>
      <c r="AS99" s="5">
        <v>24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O99" s="31" t="str">
        <f t="shared" si="18"/>
        <v>.Unnum-Level-2-ListUl2</v>
      </c>
    </row>
    <row r="100" spans="1:93">
      <c r="A100" s="38" t="str">
        <f t="shared" si="0"/>
        <v>Unnum-Level-2-List-Paragraph (Ul2p)</v>
      </c>
      <c r="C100" s="7" t="s">
        <v>519</v>
      </c>
      <c r="D100" s="7" t="s">
        <v>641</v>
      </c>
      <c r="E100" s="38" t="str">
        <f t="shared" si="10"/>
        <v>Unnum-Level-2-List-Paragraph (Ul2p)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0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-18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703</v>
      </c>
      <c r="AR100" s="5">
        <v>12</v>
      </c>
      <c r="AS100" s="5">
        <v>24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O100" s="31" t="str">
        <f t="shared" ref="CO100" si="21">"."&amp;SUBSTITUTE(SUBSTITUTE(SUBSTITUTE(SUBSTITUTE(A100, "(",""),")","")," ",""),"#","")</f>
        <v>.Unnum-Level-2-List-ParagraphUl2p</v>
      </c>
    </row>
    <row r="101" spans="1:93">
      <c r="A101" s="38" t="str">
        <f t="shared" ref="A101:A185" si="22">IF($D101="","",TRIM($C101)&amp;" "&amp;CHAR(40)&amp;TRIM($D101)&amp;CHAR(41))</f>
        <v>Unnum-Level-3-List (Ul3)</v>
      </c>
      <c r="C101" s="7" t="s">
        <v>394</v>
      </c>
      <c r="D101" s="7" t="s">
        <v>642</v>
      </c>
      <c r="E101" s="38" t="str">
        <f t="shared" si="10"/>
        <v>Unnum-Level-3-List (Ul3)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0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-18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703</v>
      </c>
      <c r="AR101" s="5">
        <v>12</v>
      </c>
      <c r="AS101" s="5">
        <v>24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O101" s="31" t="str">
        <f t="shared" si="18"/>
        <v>.Unnum-Level-3-ListUl3</v>
      </c>
    </row>
    <row r="102" spans="1:93">
      <c r="A102" s="38" t="str">
        <f t="shared" si="22"/>
        <v>Unnum-Level-3-List-Paragraph (Ul3p)</v>
      </c>
      <c r="C102" s="7" t="s">
        <v>520</v>
      </c>
      <c r="D102" s="7" t="s">
        <v>643</v>
      </c>
      <c r="E102" s="38" t="str">
        <f t="shared" si="10"/>
        <v>Unnum-Level-3-List-Paragraph (Ul3p)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0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-18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703</v>
      </c>
      <c r="AR102" s="5">
        <v>12</v>
      </c>
      <c r="AS102" s="5">
        <v>24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O102" s="31" t="str">
        <f t="shared" ref="CO102" si="23">"."&amp;SUBSTITUTE(SUBSTITUTE(SUBSTITUTE(SUBSTITUTE(A102, "(",""),")","")," ",""),"#","")</f>
        <v>.Unnum-Level-3-List-ParagraphUl3p</v>
      </c>
    </row>
    <row r="103" spans="1:93">
      <c r="A103" s="38" t="str">
        <f t="shared" si="22"/>
        <v>Alpha--Level-1-List (Al1)</v>
      </c>
      <c r="C103" s="7" t="s">
        <v>395</v>
      </c>
      <c r="D103" s="7" t="s">
        <v>644</v>
      </c>
      <c r="E103" s="38" t="str">
        <f t="shared" si="10"/>
        <v>Alpha--Level-1-List (Al1)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0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-18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703</v>
      </c>
      <c r="AR103" s="5">
        <v>12</v>
      </c>
      <c r="AS103" s="5">
        <v>24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O103" s="31" t="str">
        <f t="shared" si="18"/>
        <v>.Alpha--Level-1-ListAl1</v>
      </c>
    </row>
    <row r="104" spans="1:93">
      <c r="A104" s="38" t="str">
        <f t="shared" si="22"/>
        <v>Alpha--Level-1-List-Paragraph (Al1p)</v>
      </c>
      <c r="C104" s="7" t="s">
        <v>521</v>
      </c>
      <c r="D104" s="7" t="s">
        <v>645</v>
      </c>
      <c r="E104" s="38" t="str">
        <f t="shared" si="10"/>
        <v>Alpha--Level-1-List-Paragraph (Al1p)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0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-18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703</v>
      </c>
      <c r="AR104" s="5">
        <v>12</v>
      </c>
      <c r="AS104" s="5">
        <v>24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O104" s="31" t="str">
        <f t="shared" ref="CO104" si="24">"."&amp;SUBSTITUTE(SUBSTITUTE(SUBSTITUTE(SUBSTITUTE(A104, "(",""),")","")," ",""),"#","")</f>
        <v>.Alpha--Level-1-List-ParagraphAl1p</v>
      </c>
    </row>
    <row r="105" spans="1:93">
      <c r="A105" s="38" t="str">
        <f t="shared" si="22"/>
        <v>Alpha--Level-2-List (Al2)</v>
      </c>
      <c r="C105" s="7" t="s">
        <v>396</v>
      </c>
      <c r="D105" s="7" t="s">
        <v>646</v>
      </c>
      <c r="E105" s="38" t="str">
        <f t="shared" si="10"/>
        <v>Alpha--Level-2-List (Al2)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0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-18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703</v>
      </c>
      <c r="AR105" s="5">
        <v>12</v>
      </c>
      <c r="AS105" s="5">
        <v>24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O105" s="31" t="str">
        <f t="shared" si="18"/>
        <v>.Alpha--Level-2-ListAl2</v>
      </c>
    </row>
    <row r="106" spans="1:93">
      <c r="A106" s="38" t="str">
        <f t="shared" si="22"/>
        <v>Alpha--Level-2-List-Paragraph (Al2p)</v>
      </c>
      <c r="C106" s="7" t="s">
        <v>522</v>
      </c>
      <c r="D106" s="7" t="s">
        <v>647</v>
      </c>
      <c r="E106" s="38" t="str">
        <f t="shared" si="10"/>
        <v>Alpha--Level-2-List-Paragraph (Al2p)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0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-18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703</v>
      </c>
      <c r="AR106" s="5">
        <v>12</v>
      </c>
      <c r="AS106" s="5">
        <v>24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O106" s="31" t="str">
        <f t="shared" ref="CO106" si="25">"."&amp;SUBSTITUTE(SUBSTITUTE(SUBSTITUTE(SUBSTITUTE(A106, "(",""),")","")," ",""),"#","")</f>
        <v>.Alpha--Level-2-List-ParagraphAl2p</v>
      </c>
    </row>
    <row r="107" spans="1:93">
      <c r="A107" s="38" t="str">
        <f t="shared" si="22"/>
        <v>Alpha--Level-3-List (Al3)</v>
      </c>
      <c r="C107" s="7" t="s">
        <v>397</v>
      </c>
      <c r="D107" s="7" t="s">
        <v>648</v>
      </c>
      <c r="E107" s="38" t="str">
        <f t="shared" si="10"/>
        <v>Alpha--Level-3-List (Al3)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0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-18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703</v>
      </c>
      <c r="AR107" s="5">
        <v>12</v>
      </c>
      <c r="AS107" s="5">
        <v>24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O107" s="31" t="str">
        <f t="shared" si="18"/>
        <v>.Alpha--Level-3-ListAl3</v>
      </c>
    </row>
    <row r="108" spans="1:93">
      <c r="A108" s="38" t="str">
        <f t="shared" si="22"/>
        <v>Alpha--Level-3-List-Paragraph (Al3p)</v>
      </c>
      <c r="C108" s="7" t="s">
        <v>523</v>
      </c>
      <c r="D108" s="7" t="s">
        <v>649</v>
      </c>
      <c r="E108" s="38" t="str">
        <f t="shared" si="10"/>
        <v>Alpha--Level-3-List-Paragraph (Al3p)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0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-18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703</v>
      </c>
      <c r="AR108" s="5">
        <v>12</v>
      </c>
      <c r="AS108" s="5">
        <v>24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O108" s="31" t="str">
        <f t="shared" ref="CO108" si="26">"."&amp;SUBSTITUTE(SUBSTITUTE(SUBSTITUTE(SUBSTITUTE(A108, "(",""),")","")," ",""),"#","")</f>
        <v>.Alpha--Level-3-List-ParagraphAl3p</v>
      </c>
    </row>
    <row r="109" spans="1:93">
      <c r="A109" s="38" t="str">
        <f t="shared" si="22"/>
        <v>Bulleted-Paragraph (Bp)</v>
      </c>
      <c r="C109" s="7" t="s">
        <v>398</v>
      </c>
      <c r="D109" s="7" t="s">
        <v>399</v>
      </c>
      <c r="E109" s="38" t="str">
        <f t="shared" si="10"/>
        <v>Bulleted-Paragraph (Bp)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0</v>
      </c>
      <c r="Y109" s="5" t="b">
        <v>0</v>
      </c>
      <c r="Z109" s="5" t="b">
        <v>0</v>
      </c>
      <c r="AA109" s="7">
        <v>0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703</v>
      </c>
      <c r="AR109" s="5">
        <v>12</v>
      </c>
      <c r="AS109" s="5">
        <v>24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O109" s="31" t="str">
        <f t="shared" si="18"/>
        <v>.Bulleted-ParagraphBp</v>
      </c>
    </row>
    <row r="110" spans="1:93">
      <c r="A110" s="38" t="str">
        <f t="shared" si="22"/>
        <v>Numbered-Paragraph (Np)</v>
      </c>
      <c r="C110" s="7" t="s">
        <v>400</v>
      </c>
      <c r="D110" s="7" t="s">
        <v>401</v>
      </c>
      <c r="E110" s="38" t="str">
        <f t="shared" si="10"/>
        <v>Numbered-Paragraph (Np)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703</v>
      </c>
      <c r="AR110" s="5">
        <v>12</v>
      </c>
      <c r="AS110" s="5">
        <v>24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O110" s="31" t="str">
        <f t="shared" si="18"/>
        <v>.Numbered-ParagraphNp</v>
      </c>
    </row>
    <row r="111" spans="1:93">
      <c r="A111" s="38" t="str">
        <f t="shared" si="22"/>
        <v>List-Head (Lhead)</v>
      </c>
      <c r="C111" s="7" t="s">
        <v>524</v>
      </c>
      <c r="D111" s="7" t="s">
        <v>650</v>
      </c>
      <c r="E111" s="7" t="s">
        <v>452</v>
      </c>
      <c r="F111" s="5">
        <v>3</v>
      </c>
      <c r="G111" s="7" t="b">
        <v>0</v>
      </c>
      <c r="H111" s="5">
        <v>1</v>
      </c>
      <c r="I111" s="5" t="s">
        <v>68</v>
      </c>
      <c r="J111" s="5">
        <v>14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0</v>
      </c>
      <c r="AI111" s="7">
        <v>6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703</v>
      </c>
      <c r="AR111" s="5">
        <v>12</v>
      </c>
      <c r="AS111" s="5">
        <v>24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BT111" s="7" t="b">
        <v>1</v>
      </c>
      <c r="CO111" s="31" t="str">
        <f t="shared" si="18"/>
        <v>.List-HeadLhead</v>
      </c>
    </row>
    <row r="112" spans="1:93">
      <c r="A112" s="38" t="str">
        <f t="shared" si="22"/>
        <v>Generic-Footnote (Ftnt)</v>
      </c>
      <c r="C112" s="7" t="s">
        <v>525</v>
      </c>
      <c r="D112" s="7" t="s">
        <v>526</v>
      </c>
      <c r="E112" s="38" t="str">
        <f t="shared" si="10"/>
        <v>Generic-Footnote (Ftnt)</v>
      </c>
      <c r="F112" s="5">
        <v>3</v>
      </c>
      <c r="G112" s="7" t="b">
        <v>0</v>
      </c>
      <c r="H112" s="5">
        <v>1</v>
      </c>
      <c r="I112" s="5" t="s">
        <v>67</v>
      </c>
      <c r="J112" s="5">
        <v>9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0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36</v>
      </c>
      <c r="AI112" s="7">
        <v>10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703</v>
      </c>
      <c r="AR112" s="5">
        <v>1</v>
      </c>
      <c r="AS112" s="5">
        <v>48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O112" s="31" t="str">
        <f t="shared" ref="CO112" si="27">"."&amp;SUBSTITUTE(SUBSTITUTE(SUBSTITUTE(SUBSTITUTE(A112, "(",""),")","")," ",""),"#","")</f>
        <v>.Generic-FootnoteFtnt</v>
      </c>
    </row>
    <row r="113" spans="1:93">
      <c r="A113" s="38" t="str">
        <f t="shared" si="22"/>
        <v>Reference-Entry (Ref)</v>
      </c>
      <c r="C113" s="7" t="s">
        <v>402</v>
      </c>
      <c r="D113" s="7" t="s">
        <v>651</v>
      </c>
      <c r="E113" s="38" t="str">
        <f t="shared" si="10"/>
        <v>Reference-Entry (Ref)</v>
      </c>
      <c r="F113" s="5">
        <v>3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703</v>
      </c>
      <c r="AR113" s="5">
        <v>1</v>
      </c>
      <c r="AS113" s="5">
        <v>48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O113" s="31" t="str">
        <f t="shared" si="18"/>
        <v>.Reference-EntryRef</v>
      </c>
    </row>
    <row r="114" spans="1:93">
      <c r="A114" s="38" t="str">
        <f t="shared" si="22"/>
        <v>Source-Note (Srcnt)</v>
      </c>
      <c r="C114" s="7" t="s">
        <v>403</v>
      </c>
      <c r="D114" s="7" t="s">
        <v>652</v>
      </c>
      <c r="E114" s="7" t="s">
        <v>452</v>
      </c>
      <c r="F114" s="5">
        <v>3</v>
      </c>
      <c r="G114" s="7" t="b">
        <v>0</v>
      </c>
      <c r="H114" s="5">
        <v>1</v>
      </c>
      <c r="I114" s="5" t="s">
        <v>1</v>
      </c>
      <c r="J114" s="5">
        <v>9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703</v>
      </c>
      <c r="AR114" s="5">
        <v>1</v>
      </c>
      <c r="AS114" s="5">
        <v>48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O114" s="31" t="str">
        <f t="shared" si="18"/>
        <v>.Source-NoteSrcnt</v>
      </c>
    </row>
    <row r="115" spans="1:93">
      <c r="A115" s="38" t="str">
        <f t="shared" si="22"/>
        <v>Index-Entry (Idx1)</v>
      </c>
      <c r="C115" s="7" t="s">
        <v>527</v>
      </c>
      <c r="D115" s="7" t="s">
        <v>661</v>
      </c>
      <c r="E115" s="38" t="str">
        <f t="shared" si="10"/>
        <v>Index-Entry (Idx1)</v>
      </c>
      <c r="F115" s="5">
        <v>3</v>
      </c>
      <c r="G115" s="7" t="b">
        <v>0</v>
      </c>
      <c r="H115" s="5">
        <v>1</v>
      </c>
      <c r="I115" s="5" t="s">
        <v>67</v>
      </c>
      <c r="J115" s="5">
        <v>11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-18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1" t="s">
        <v>69</v>
      </c>
      <c r="AR115" s="5">
        <v>1</v>
      </c>
      <c r="AS115" s="5">
        <v>48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O115" s="31" t="str">
        <f t="shared" ref="CO115:CO117" si="28">"."&amp;SUBSTITUTE(SUBSTITUTE(SUBSTITUTE(SUBSTITUTE(A115, "(",""),")","")," ",""),"#","")</f>
        <v>.Index-EntryIdx1</v>
      </c>
    </row>
    <row r="116" spans="1:93">
      <c r="A116" s="38" t="str">
        <f t="shared" si="22"/>
        <v>Index-Sub-Entry (Idx2)</v>
      </c>
      <c r="C116" s="7" t="s">
        <v>528</v>
      </c>
      <c r="D116" s="7" t="s">
        <v>662</v>
      </c>
      <c r="E116" s="38" t="str">
        <f t="shared" si="10"/>
        <v>Index-Sub-Entry (Idx2)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0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5">
        <v>48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O116" s="31" t="str">
        <f t="shared" si="28"/>
        <v>.Index-Sub-EntryIdx2</v>
      </c>
    </row>
    <row r="117" spans="1:93">
      <c r="A117" s="38" t="str">
        <f t="shared" si="22"/>
        <v>Index-Sub-Sub-Entry (Idx3)</v>
      </c>
      <c r="C117" s="7" t="s">
        <v>529</v>
      </c>
      <c r="D117" s="7" t="s">
        <v>663</v>
      </c>
      <c r="E117" s="38" t="str">
        <f t="shared" si="10"/>
        <v>Index-Sub-Sub-Entry (Idx3)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0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5">
        <v>48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O117" s="31" t="str">
        <f t="shared" si="28"/>
        <v>.Index-Sub-Sub-EntryIdx3</v>
      </c>
    </row>
    <row r="118" spans="1:93">
      <c r="A118" s="38" t="str">
        <f t="shared" si="22"/>
        <v>Publisher (Pub)</v>
      </c>
      <c r="C118" s="7" t="s">
        <v>530</v>
      </c>
      <c r="D118" s="7" t="s">
        <v>531</v>
      </c>
      <c r="E118" s="7" t="s">
        <v>452</v>
      </c>
      <c r="F118" s="5">
        <v>3</v>
      </c>
      <c r="G118" s="7" t="b">
        <v>0</v>
      </c>
      <c r="H118" s="5">
        <v>1</v>
      </c>
      <c r="I118" s="5" t="s">
        <v>67</v>
      </c>
      <c r="J118" s="5">
        <v>14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1</v>
      </c>
      <c r="AH118" s="7">
        <v>0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4" t="s">
        <v>700</v>
      </c>
      <c r="AR118" s="5">
        <v>1</v>
      </c>
      <c r="AS118" s="5">
        <v>48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O118" s="31" t="str">
        <f t="shared" si="18"/>
        <v>.PublisherPub</v>
      </c>
    </row>
    <row r="119" spans="1:93">
      <c r="A119" s="38" t="str">
        <f t="shared" si="22"/>
        <v>Cities (Cit)</v>
      </c>
      <c r="C119" s="7" t="s">
        <v>532</v>
      </c>
      <c r="D119" s="7" t="s">
        <v>533</v>
      </c>
      <c r="E119" s="7" t="s">
        <v>452</v>
      </c>
      <c r="F119" s="5">
        <v>3</v>
      </c>
      <c r="G119" s="7" t="b">
        <v>0</v>
      </c>
      <c r="H119" s="5">
        <v>1</v>
      </c>
      <c r="I119" s="5" t="s">
        <v>67</v>
      </c>
      <c r="J119" s="5">
        <v>14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700</v>
      </c>
      <c r="AR119" s="5">
        <v>1</v>
      </c>
      <c r="AS119" s="5">
        <v>48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O119" s="31" t="str">
        <f t="shared" ref="CO119" si="29">"."&amp;SUBSTITUTE(SUBSTITUTE(SUBSTITUTE(SUBSTITUTE(A119, "(",""),")","")," ",""),"#","")</f>
        <v>.CitiesCit</v>
      </c>
    </row>
    <row r="120" spans="1:93">
      <c r="A120" s="38" t="str">
        <f t="shared" si="22"/>
        <v>Logo-Placement (Logo)</v>
      </c>
      <c r="C120" s="7" t="s">
        <v>404</v>
      </c>
      <c r="D120" s="7" t="s">
        <v>653</v>
      </c>
      <c r="E120" s="7" t="s">
        <v>452</v>
      </c>
      <c r="F120" s="5">
        <v>3</v>
      </c>
      <c r="G120" s="7" t="b">
        <v>0</v>
      </c>
      <c r="H120" s="5">
        <v>1</v>
      </c>
      <c r="I120" s="5" t="s">
        <v>1</v>
      </c>
      <c r="J120" s="5">
        <v>10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0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1</v>
      </c>
      <c r="AM120" s="47" t="s">
        <v>71</v>
      </c>
      <c r="AN120" s="5">
        <v>1</v>
      </c>
      <c r="AO120" s="5">
        <v>6</v>
      </c>
      <c r="AP120" s="5" t="b">
        <v>1</v>
      </c>
      <c r="AQ120" s="48" t="s">
        <v>71</v>
      </c>
      <c r="AR120" s="5">
        <v>1</v>
      </c>
      <c r="AS120" s="5">
        <v>48</v>
      </c>
      <c r="AT120" s="5" t="b">
        <v>1</v>
      </c>
      <c r="AU120" s="47" t="s">
        <v>71</v>
      </c>
      <c r="AV120" s="5">
        <v>1</v>
      </c>
      <c r="AW120" s="5">
        <v>6</v>
      </c>
      <c r="AX120" s="5" t="b">
        <v>1</v>
      </c>
      <c r="AY120" s="47" t="s">
        <v>71</v>
      </c>
      <c r="AZ120" s="5">
        <v>1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O120" s="31" t="str">
        <f t="shared" si="18"/>
        <v>.Logo-PlacementLogo</v>
      </c>
    </row>
    <row r="121" spans="1:93">
      <c r="A121" s="38" t="str">
        <f t="shared" si="22"/>
        <v>Imprint (Imp)</v>
      </c>
      <c r="C121" s="7" t="s">
        <v>405</v>
      </c>
      <c r="D121" s="7" t="s">
        <v>654</v>
      </c>
      <c r="E121" s="7" t="s">
        <v>452</v>
      </c>
      <c r="F121" s="5">
        <v>3</v>
      </c>
      <c r="G121" s="7" t="b">
        <v>0</v>
      </c>
      <c r="H121" s="5">
        <v>1</v>
      </c>
      <c r="I121" s="5" t="s">
        <v>67</v>
      </c>
      <c r="J121" s="5">
        <v>10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44" t="s">
        <v>700</v>
      </c>
      <c r="AR121" s="5">
        <v>1</v>
      </c>
      <c r="AS121" s="5">
        <v>48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O121" s="31" t="str">
        <f t="shared" si="18"/>
        <v>.ImprintImp</v>
      </c>
    </row>
    <row r="122" spans="1:93">
      <c r="A122" s="38" t="str">
        <f t="shared" si="22"/>
        <v>Image-Placement (Img)</v>
      </c>
      <c r="C122" s="7" t="s">
        <v>602</v>
      </c>
      <c r="D122" s="7" t="s">
        <v>601</v>
      </c>
      <c r="E122" s="7" t="s">
        <v>452</v>
      </c>
      <c r="F122" s="5">
        <v>3</v>
      </c>
      <c r="G122" s="7" t="b">
        <v>1</v>
      </c>
      <c r="H122" s="5">
        <v>1</v>
      </c>
      <c r="I122" s="5" t="s">
        <v>1</v>
      </c>
      <c r="J122" s="5">
        <v>11</v>
      </c>
      <c r="K122" s="7" t="b">
        <v>0</v>
      </c>
      <c r="L122" s="5" t="b">
        <v>0</v>
      </c>
      <c r="M122" s="39" t="s">
        <v>699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0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1</v>
      </c>
      <c r="AM122" s="48" t="s">
        <v>71</v>
      </c>
      <c r="AN122" s="5">
        <v>1</v>
      </c>
      <c r="AO122" s="5">
        <v>6</v>
      </c>
      <c r="AP122" s="5" t="b">
        <v>1</v>
      </c>
      <c r="AQ122" s="48" t="s">
        <v>71</v>
      </c>
      <c r="AR122" s="5">
        <v>1</v>
      </c>
      <c r="AS122" s="5">
        <v>48</v>
      </c>
      <c r="AT122" s="5" t="b">
        <v>1</v>
      </c>
      <c r="AU122" s="48" t="s">
        <v>71</v>
      </c>
      <c r="AV122" s="5">
        <v>1</v>
      </c>
      <c r="AW122" s="5">
        <v>6</v>
      </c>
      <c r="AX122" s="5" t="b">
        <v>1</v>
      </c>
      <c r="AY122" s="48" t="s">
        <v>71</v>
      </c>
      <c r="AZ122" s="5">
        <v>1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O122" s="31" t="str">
        <f t="shared" si="18"/>
        <v>.Image-PlacementImg</v>
      </c>
    </row>
    <row r="123" spans="1:93">
      <c r="A123" s="38" t="str">
        <f t="shared" si="22"/>
        <v>Credit-Line (Crd)</v>
      </c>
      <c r="C123" s="7" t="s">
        <v>406</v>
      </c>
      <c r="D123" s="7" t="s">
        <v>407</v>
      </c>
      <c r="E123" s="38" t="str">
        <f t="shared" ref="E123:E134" si="30">IF($D123="","",TRIM($C123)&amp;" "&amp;CHAR(40)&amp;TRIM($D123)&amp;CHAR(41))</f>
        <v>Credit-Line (Crd)</v>
      </c>
      <c r="F123" s="5">
        <v>3</v>
      </c>
      <c r="G123" s="7" t="b">
        <v>0</v>
      </c>
      <c r="H123" s="5">
        <v>1</v>
      </c>
      <c r="I123" s="5" t="s">
        <v>1</v>
      </c>
      <c r="J123" s="5">
        <v>9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0</v>
      </c>
      <c r="AH123" s="7">
        <v>36</v>
      </c>
      <c r="AI123" s="7">
        <v>10</v>
      </c>
      <c r="AJ123" s="7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50" t="s">
        <v>708</v>
      </c>
      <c r="AR123" s="5">
        <v>1</v>
      </c>
      <c r="AS123" s="5">
        <v>48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O123" s="31" t="str">
        <f t="shared" si="18"/>
        <v>.Credit-LineCrd</v>
      </c>
    </row>
    <row r="124" spans="1:93">
      <c r="A124" s="38" t="str">
        <f t="shared" si="22"/>
        <v>Caption (Cap)</v>
      </c>
      <c r="C124" s="7" t="s">
        <v>204</v>
      </c>
      <c r="D124" s="7" t="s">
        <v>408</v>
      </c>
      <c r="E124" s="38" t="str">
        <f t="shared" si="30"/>
        <v>Caption (Cap)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708</v>
      </c>
      <c r="AR124" s="5">
        <v>1</v>
      </c>
      <c r="AS124" s="5">
        <v>48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O124" s="31" t="str">
        <f t="shared" si="18"/>
        <v>.CaptionCap</v>
      </c>
    </row>
    <row r="125" spans="1:93">
      <c r="A125" s="38" t="str">
        <f t="shared" si="22"/>
        <v>Speaker1 (Sp1)</v>
      </c>
      <c r="C125" s="7" t="s">
        <v>603</v>
      </c>
      <c r="D125" s="7" t="s">
        <v>604</v>
      </c>
      <c r="E125" s="38" t="str">
        <f t="shared" si="30"/>
        <v>Speaker1 (Sp1)</v>
      </c>
      <c r="F125" s="5">
        <v>3</v>
      </c>
      <c r="G125" s="7" t="b">
        <v>0</v>
      </c>
      <c r="H125" s="5">
        <v>1</v>
      </c>
      <c r="I125" s="5" t="s">
        <v>2</v>
      </c>
      <c r="J125" s="5">
        <v>11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1</v>
      </c>
      <c r="AH125" s="7">
        <v>0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0" t="s">
        <v>703</v>
      </c>
      <c r="AR125" s="5">
        <v>1</v>
      </c>
      <c r="AS125" s="5">
        <v>48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O125" s="31" t="str">
        <f t="shared" si="18"/>
        <v>.Speaker1Sp1</v>
      </c>
    </row>
    <row r="126" spans="1:93">
      <c r="A126" s="38" t="str">
        <f t="shared" si="22"/>
        <v>Speaker2 (Sp2)</v>
      </c>
      <c r="C126" s="7" t="s">
        <v>605</v>
      </c>
      <c r="D126" s="7" t="s">
        <v>606</v>
      </c>
      <c r="E126" s="38" t="str">
        <f t="shared" si="30"/>
        <v>Speaker2 (Sp2)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0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1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703</v>
      </c>
      <c r="AR126" s="5">
        <v>18</v>
      </c>
      <c r="AS126" s="5">
        <v>12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O126" s="31" t="str">
        <f t="shared" ref="CO126" si="31">"."&amp;SUBSTITUTE(SUBSTITUTE(SUBSTITUTE(SUBSTITUTE(A126, "(",""),")","")," ",""),"#","")</f>
        <v>.Speaker2Sp2</v>
      </c>
    </row>
    <row r="127" spans="1:93">
      <c r="A127" s="38" t="str">
        <f t="shared" si="22"/>
        <v>Dialogue1 (Dia1)</v>
      </c>
      <c r="C127" s="7" t="s">
        <v>534</v>
      </c>
      <c r="D127" s="7" t="s">
        <v>536</v>
      </c>
      <c r="E127" s="38" t="str">
        <f t="shared" si="30"/>
        <v>Dialogue1 (Dia1)</v>
      </c>
      <c r="F127" s="5">
        <v>3</v>
      </c>
      <c r="G127" s="7" t="b">
        <v>0</v>
      </c>
      <c r="H127" s="5">
        <v>1</v>
      </c>
      <c r="I127" s="5" t="s">
        <v>67</v>
      </c>
      <c r="J127" s="5">
        <v>12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7">
        <v>0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36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703</v>
      </c>
      <c r="AR127" s="5">
        <v>1</v>
      </c>
      <c r="AS127" s="5">
        <v>48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O127" s="31" t="str">
        <f t="shared" si="18"/>
        <v>.Dialogue1Dia1</v>
      </c>
    </row>
    <row r="128" spans="1:93">
      <c r="A128" s="38" t="str">
        <f t="shared" si="22"/>
        <v>Dialogue2 (Dia2)</v>
      </c>
      <c r="C128" s="7" t="s">
        <v>535</v>
      </c>
      <c r="D128" s="7" t="s">
        <v>537</v>
      </c>
      <c r="E128" s="38" t="str">
        <f t="shared" si="30"/>
        <v>Dialogue2 (Dia2)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0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703</v>
      </c>
      <c r="AR128" s="5">
        <v>18</v>
      </c>
      <c r="AS128" s="5">
        <v>12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O128" s="31" t="str">
        <f t="shared" ref="CO128" si="32">"."&amp;SUBSTITUTE(SUBSTITUTE(SUBSTITUTE(SUBSTITUTE(A128, "(",""),")","")," ",""),"#","")</f>
        <v>.Dialogue2Dia2</v>
      </c>
    </row>
    <row r="129" spans="1:93">
      <c r="A129" s="38" t="str">
        <f t="shared" si="22"/>
        <v>Stage-Directions (Stdir)</v>
      </c>
      <c r="C129" s="7" t="s">
        <v>409</v>
      </c>
      <c r="D129" s="7" t="s">
        <v>655</v>
      </c>
      <c r="E129" s="38" t="str">
        <f t="shared" si="30"/>
        <v>Stage-Directions (Stdir)</v>
      </c>
      <c r="F129" s="5">
        <v>3</v>
      </c>
      <c r="G129" s="7" t="b">
        <v>0</v>
      </c>
      <c r="H129" s="5">
        <v>1</v>
      </c>
      <c r="I129" s="5" t="s">
        <v>1</v>
      </c>
      <c r="J129" s="5">
        <v>11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0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703</v>
      </c>
      <c r="AR129" s="5">
        <v>1</v>
      </c>
      <c r="AS129" s="5">
        <v>48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O129" s="31" t="str">
        <f t="shared" si="18"/>
        <v>.Stage-DirectionsStdir</v>
      </c>
    </row>
    <row r="130" spans="1:93">
      <c r="A130" s="38" t="str">
        <f t="shared" si="22"/>
        <v>TOC-Frontmatter (Tocfm)</v>
      </c>
      <c r="C130" s="7" t="s">
        <v>410</v>
      </c>
      <c r="D130" s="7" t="s">
        <v>656</v>
      </c>
      <c r="E130" s="38" t="str">
        <f t="shared" si="30"/>
        <v>TOC-Frontmatter (Tocfm)</v>
      </c>
      <c r="F130" s="5">
        <v>3</v>
      </c>
      <c r="G130" s="7" t="b">
        <v>0</v>
      </c>
      <c r="H130" s="5">
        <v>1</v>
      </c>
      <c r="I130" s="5" t="s">
        <v>67</v>
      </c>
      <c r="J130" s="5">
        <v>12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0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4" t="s">
        <v>700</v>
      </c>
      <c r="AR130" s="5">
        <v>1</v>
      </c>
      <c r="AS130" s="5">
        <v>48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O130" s="31" t="str">
        <f t="shared" si="18"/>
        <v>.TOC-FrontmatterTocfm</v>
      </c>
    </row>
    <row r="131" spans="1:93">
      <c r="A131" s="38" t="str">
        <f t="shared" si="22"/>
        <v>TOC-Part (Tocpt)</v>
      </c>
      <c r="C131" s="7" t="s">
        <v>411</v>
      </c>
      <c r="D131" s="7" t="s">
        <v>657</v>
      </c>
      <c r="E131" s="38" t="str">
        <f t="shared" si="30"/>
        <v>TOC-Part (Tocpt)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700</v>
      </c>
      <c r="AR131" s="5">
        <v>1</v>
      </c>
      <c r="AS131" s="5">
        <v>48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O131" s="31" t="str">
        <f t="shared" si="18"/>
        <v>.TOC-PartTocpt</v>
      </c>
    </row>
    <row r="132" spans="1:93">
      <c r="A132" s="38" t="str">
        <f t="shared" si="22"/>
        <v>TOC-Chapter (Tocch)</v>
      </c>
      <c r="C132" s="7" t="s">
        <v>412</v>
      </c>
      <c r="D132" s="7" t="s">
        <v>658</v>
      </c>
      <c r="E132" s="38" t="str">
        <f t="shared" si="30"/>
        <v>TOC-Chapter (Tocch)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700</v>
      </c>
      <c r="AR132" s="5">
        <v>1</v>
      </c>
      <c r="AS132" s="5">
        <v>48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O132" s="31" t="str">
        <f t="shared" si="18"/>
        <v>.TOC-ChapterTocch</v>
      </c>
    </row>
    <row r="133" spans="1:93">
      <c r="A133" s="38" t="str">
        <f t="shared" si="22"/>
        <v>TOC-Subhead (Tocsub)</v>
      </c>
      <c r="C133" s="7" t="s">
        <v>413</v>
      </c>
      <c r="D133" s="7" t="s">
        <v>664</v>
      </c>
      <c r="E133" s="38" t="str">
        <f t="shared" si="30"/>
        <v>TOC-Subhead (Tocsub)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700</v>
      </c>
      <c r="AR133" s="5">
        <v>1</v>
      </c>
      <c r="AS133" s="5">
        <v>48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O133" s="31" t="str">
        <f t="shared" si="18"/>
        <v>.TOC-SubheadTocsub</v>
      </c>
    </row>
    <row r="134" spans="1:93">
      <c r="A134" s="38" t="str">
        <f t="shared" si="22"/>
        <v>TOC-Backmatter (Tocbm)</v>
      </c>
      <c r="C134" s="7" t="s">
        <v>414</v>
      </c>
      <c r="D134" s="7" t="s">
        <v>659</v>
      </c>
      <c r="E134" s="38" t="str">
        <f t="shared" si="30"/>
        <v>TOC-Backmatter (Tocbm)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700</v>
      </c>
      <c r="AR134" s="5">
        <v>1</v>
      </c>
      <c r="AS134" s="5">
        <v>48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O134" s="31" t="str">
        <f t="shared" si="18"/>
        <v>.TOC-BackmatterTocbm</v>
      </c>
    </row>
    <row r="135" spans="1:93">
      <c r="A135" s="38" t="str">
        <f t="shared" si="22"/>
        <v>Blank-Space-Break (Bsbrk)</v>
      </c>
      <c r="C135" s="7" t="s">
        <v>538</v>
      </c>
      <c r="D135" s="7" t="s">
        <v>539</v>
      </c>
      <c r="E135" s="7" t="s">
        <v>452</v>
      </c>
      <c r="F135" s="5">
        <v>3</v>
      </c>
      <c r="G135" s="7" t="b">
        <v>1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8" t="s">
        <v>71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1</v>
      </c>
      <c r="AH135" s="7">
        <v>0</v>
      </c>
      <c r="AI135" s="7">
        <v>10</v>
      </c>
      <c r="AJ135" s="7" t="b">
        <v>0</v>
      </c>
      <c r="AK135" s="5" t="b">
        <v>0</v>
      </c>
      <c r="AL135" s="5" t="b">
        <v>1</v>
      </c>
      <c r="AM135" s="47" t="s">
        <v>71</v>
      </c>
      <c r="AN135" s="5">
        <v>1</v>
      </c>
      <c r="AO135" s="5">
        <v>6</v>
      </c>
      <c r="AP135" s="5" t="b">
        <v>1</v>
      </c>
      <c r="AQ135" s="48" t="s">
        <v>71</v>
      </c>
      <c r="AR135" s="5">
        <v>6</v>
      </c>
      <c r="AS135" s="5">
        <v>18</v>
      </c>
      <c r="AT135" s="5" t="b">
        <v>1</v>
      </c>
      <c r="AU135" s="48" t="s">
        <v>71</v>
      </c>
      <c r="AV135" s="5">
        <v>1</v>
      </c>
      <c r="AW135" s="5">
        <v>6</v>
      </c>
      <c r="AX135" s="5" t="b">
        <v>1</v>
      </c>
      <c r="AY135" s="48" t="s">
        <v>71</v>
      </c>
      <c r="AZ135" s="5">
        <v>6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46" t="s">
        <v>706</v>
      </c>
      <c r="BJ135" s="37"/>
      <c r="BK135" s="5" t="s">
        <v>0</v>
      </c>
      <c r="BL135" s="5">
        <v>0</v>
      </c>
      <c r="BM135" s="5" t="b">
        <v>0</v>
      </c>
      <c r="CO135" s="31" t="str">
        <f t="shared" si="18"/>
        <v>.Blank-Space-BreakBsbrk</v>
      </c>
    </row>
    <row r="136" spans="1:93">
      <c r="A136" s="38" t="str">
        <f t="shared" si="22"/>
        <v>Ornamental-Space-Break (Osbrk)</v>
      </c>
      <c r="C136" s="7" t="s">
        <v>540</v>
      </c>
      <c r="D136" s="7" t="s">
        <v>541</v>
      </c>
      <c r="E136" s="7" t="s">
        <v>452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7" t="s">
        <v>71</v>
      </c>
      <c r="AN136" s="5">
        <v>1</v>
      </c>
      <c r="AO136" s="5">
        <v>6</v>
      </c>
      <c r="AP136" s="5" t="b">
        <v>1</v>
      </c>
      <c r="AQ136" s="49" t="s">
        <v>71</v>
      </c>
      <c r="AR136" s="5">
        <v>6</v>
      </c>
      <c r="AS136" s="5">
        <v>18</v>
      </c>
      <c r="AT136" s="5" t="b">
        <v>1</v>
      </c>
      <c r="AU136" s="49" t="s">
        <v>71</v>
      </c>
      <c r="AV136" s="5">
        <v>1</v>
      </c>
      <c r="AW136" s="5">
        <v>6</v>
      </c>
      <c r="AX136" s="5" t="b">
        <v>1</v>
      </c>
      <c r="AY136" s="49" t="s">
        <v>71</v>
      </c>
      <c r="AZ136" s="5">
        <v>6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46" t="s">
        <v>706</v>
      </c>
      <c r="BJ136" s="37"/>
      <c r="BK136" s="5" t="s">
        <v>0</v>
      </c>
      <c r="BL136" s="5">
        <v>0</v>
      </c>
      <c r="BM136" s="5" t="b">
        <v>0</v>
      </c>
      <c r="CO136" s="31" t="str">
        <f t="shared" si="18"/>
        <v>.Ornamental-Space-BreakOsbrk</v>
      </c>
    </row>
    <row r="137" spans="1:93">
      <c r="A137" s="38" t="str">
        <f t="shared" si="22"/>
        <v>Separator (Sep)</v>
      </c>
      <c r="C137" s="7" t="s">
        <v>542</v>
      </c>
      <c r="D137" s="7" t="s">
        <v>543</v>
      </c>
      <c r="E137" s="7" t="s">
        <v>452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7" t="s">
        <v>71</v>
      </c>
      <c r="AN137" s="5">
        <v>1</v>
      </c>
      <c r="AO137" s="5">
        <v>6</v>
      </c>
      <c r="AP137" s="5" t="b">
        <v>1</v>
      </c>
      <c r="AQ137" s="49" t="s">
        <v>71</v>
      </c>
      <c r="AR137" s="5">
        <v>6</v>
      </c>
      <c r="AS137" s="5">
        <v>18</v>
      </c>
      <c r="AT137" s="5" t="b">
        <v>1</v>
      </c>
      <c r="AU137" s="49" t="s">
        <v>71</v>
      </c>
      <c r="AV137" s="5">
        <v>1</v>
      </c>
      <c r="AW137" s="5">
        <v>6</v>
      </c>
      <c r="AX137" s="5" t="b">
        <v>1</v>
      </c>
      <c r="AY137" s="49" t="s">
        <v>71</v>
      </c>
      <c r="AZ137" s="5">
        <v>6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46" t="s">
        <v>706</v>
      </c>
      <c r="BJ137" s="37"/>
      <c r="BK137" s="5" t="s">
        <v>0</v>
      </c>
      <c r="BL137" s="5">
        <v>0</v>
      </c>
      <c r="BM137" s="5" t="b">
        <v>0</v>
      </c>
      <c r="CO137" s="31" t="str">
        <f t="shared" ref="CO137" si="33">"."&amp;SUBSTITUTE(SUBSTITUTE(SUBSTITUTE(SUBSTITUTE(A137, "(",""),")","")," ",""),"#","")</f>
        <v>.SeparatorSep</v>
      </c>
    </row>
    <row r="138" spans="1:93">
      <c r="A138" s="38" t="str">
        <f t="shared" si="22"/>
        <v>Design-Note (Dn)</v>
      </c>
      <c r="C138" s="7" t="s">
        <v>415</v>
      </c>
      <c r="D138" s="7" t="s">
        <v>416</v>
      </c>
      <c r="E138" s="38" t="str">
        <f t="shared" ref="E138:E140" si="34">IF($D138="","",TRIM($C138)&amp;" "&amp;CHAR(40)&amp;TRIM($D138)&amp;CHAR(41))</f>
        <v>Design-Note (Dn)</v>
      </c>
      <c r="F138" s="5">
        <v>3</v>
      </c>
      <c r="G138" s="7" t="b">
        <v>1</v>
      </c>
      <c r="H138" s="5">
        <v>1</v>
      </c>
      <c r="I138" s="5" t="s">
        <v>72</v>
      </c>
      <c r="J138" s="5">
        <v>11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0</v>
      </c>
      <c r="AH138" s="7">
        <v>36</v>
      </c>
      <c r="AI138" s="7">
        <v>10</v>
      </c>
      <c r="AJ138" s="7" t="b">
        <v>0</v>
      </c>
      <c r="AK138" s="5" t="b">
        <v>0</v>
      </c>
      <c r="AL138" s="5" t="b">
        <v>1</v>
      </c>
      <c r="AM138" s="47" t="s">
        <v>71</v>
      </c>
      <c r="AN138" s="5">
        <v>1</v>
      </c>
      <c r="AO138" s="5">
        <v>6</v>
      </c>
      <c r="AP138" s="5" t="b">
        <v>1</v>
      </c>
      <c r="AQ138" s="49" t="s">
        <v>71</v>
      </c>
      <c r="AR138" s="5">
        <v>1</v>
      </c>
      <c r="AS138" s="5">
        <v>48</v>
      </c>
      <c r="AT138" s="5" t="b">
        <v>1</v>
      </c>
      <c r="AU138" s="49" t="s">
        <v>71</v>
      </c>
      <c r="AV138" s="5">
        <v>1</v>
      </c>
      <c r="AW138" s="5">
        <v>6</v>
      </c>
      <c r="AX138" s="5" t="b">
        <v>1</v>
      </c>
      <c r="AY138" s="49" t="s">
        <v>71</v>
      </c>
      <c r="AZ138" s="5">
        <v>1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9" t="s">
        <v>66</v>
      </c>
      <c r="BJ138" s="37"/>
      <c r="BK138" s="5" t="s">
        <v>0</v>
      </c>
      <c r="BL138" s="5">
        <v>0</v>
      </c>
      <c r="BM138" s="5" t="b">
        <v>0</v>
      </c>
      <c r="CO138" s="31" t="str">
        <f t="shared" si="18"/>
        <v>.Design-NoteDn</v>
      </c>
    </row>
    <row r="139" spans="1:93">
      <c r="A139" s="38" t="str">
        <f t="shared" si="22"/>
        <v>Bookmaker-Processing-Instruction (Bpi)</v>
      </c>
      <c r="C139" s="7" t="s">
        <v>417</v>
      </c>
      <c r="D139" s="7" t="s">
        <v>418</v>
      </c>
      <c r="E139" s="38" t="str">
        <f t="shared" si="34"/>
        <v>Bookmaker-Processing-Instruction (Bpi)</v>
      </c>
      <c r="F139" s="5">
        <v>3</v>
      </c>
      <c r="G139" s="7" t="b">
        <v>0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7" t="s">
        <v>71</v>
      </c>
      <c r="AN139" s="5">
        <v>1</v>
      </c>
      <c r="AO139" s="5">
        <v>6</v>
      </c>
      <c r="AP139" s="5" t="b">
        <v>1</v>
      </c>
      <c r="AQ139" s="49" t="s">
        <v>71</v>
      </c>
      <c r="AR139" s="5">
        <v>1</v>
      </c>
      <c r="AS139" s="5">
        <v>48</v>
      </c>
      <c r="AT139" s="5" t="b">
        <v>1</v>
      </c>
      <c r="AU139" s="49" t="s">
        <v>71</v>
      </c>
      <c r="AV139" s="5">
        <v>1</v>
      </c>
      <c r="AW139" s="5">
        <v>6</v>
      </c>
      <c r="AX139" s="5" t="b">
        <v>1</v>
      </c>
      <c r="AY139" s="49" t="s">
        <v>71</v>
      </c>
      <c r="AZ139" s="5">
        <v>1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O139" s="31" t="str">
        <f t="shared" si="18"/>
        <v>.Bookmaker-Processing-InstructionBpi</v>
      </c>
    </row>
    <row r="140" spans="1:93">
      <c r="A140" s="38" t="str">
        <f t="shared" si="22"/>
        <v>Ebook-Only-Text (Eonly)</v>
      </c>
      <c r="C140" s="7" t="s">
        <v>544</v>
      </c>
      <c r="D140" s="7" t="s">
        <v>545</v>
      </c>
      <c r="E140" s="38" t="str">
        <f t="shared" si="34"/>
        <v>Ebook-Only-Text (Eonly)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52" t="s">
        <v>707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42" t="s">
        <v>701</v>
      </c>
      <c r="AR140" s="5">
        <v>1</v>
      </c>
      <c r="AS140" s="5">
        <v>48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O140" s="31" t="str">
        <f t="shared" ref="CO140" si="35">"."&amp;SUBSTITUTE(SUBSTITUTE(SUBSTITUTE(SUBSTITUTE(A140, "(",""),")","")," ",""),"#","")</f>
        <v>.Ebook-Only-TextEonly</v>
      </c>
    </row>
    <row r="141" spans="1:93">
      <c r="A141" s="38" t="str">
        <f t="shared" si="22"/>
        <v>EXTRACT-A (EXT-A)</v>
      </c>
      <c r="C141" s="7" t="s">
        <v>419</v>
      </c>
      <c r="D141" s="7" t="s">
        <v>420</v>
      </c>
      <c r="E141" s="7" t="s">
        <v>452</v>
      </c>
      <c r="F141" s="5">
        <v>2</v>
      </c>
      <c r="G141" s="7" t="b">
        <v>0</v>
      </c>
      <c r="H141" s="7">
        <v>1</v>
      </c>
      <c r="I141" s="5" t="s">
        <v>1</v>
      </c>
      <c r="J141" s="7">
        <v>12</v>
      </c>
      <c r="K141" s="7" t="b">
        <v>0</v>
      </c>
      <c r="L141" s="5" t="b">
        <v>1</v>
      </c>
      <c r="M141" s="39" t="s">
        <v>699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1</v>
      </c>
      <c r="AH141" s="7">
        <v>0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39" t="s">
        <v>699</v>
      </c>
      <c r="AR141" s="5">
        <v>1</v>
      </c>
      <c r="AS141" s="5">
        <v>48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45" t="s">
        <v>705</v>
      </c>
      <c r="BJ141" s="37"/>
      <c r="BK141" s="5" t="s">
        <v>0</v>
      </c>
      <c r="BL141" s="7">
        <v>0</v>
      </c>
      <c r="BM141" s="5" t="b">
        <v>0</v>
      </c>
      <c r="CO141" s="31" t="str">
        <f t="shared" si="18"/>
        <v>.EXTRACT-AEXT-A</v>
      </c>
    </row>
    <row r="142" spans="1:93">
      <c r="A142" s="38" t="str">
        <f t="shared" si="22"/>
        <v>EXTRACT-B (EXT-B)</v>
      </c>
      <c r="C142" s="7" t="s">
        <v>548</v>
      </c>
      <c r="D142" s="7" t="s">
        <v>551</v>
      </c>
      <c r="E142" s="7" t="s">
        <v>452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39" t="s">
        <v>699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0</v>
      </c>
      <c r="AM142" s="6" t="s">
        <v>66</v>
      </c>
      <c r="AN142" s="5">
        <v>0</v>
      </c>
      <c r="AO142" s="5">
        <v>6</v>
      </c>
      <c r="AP142" s="5" t="b">
        <v>1</v>
      </c>
      <c r="AQ142" s="39" t="s">
        <v>699</v>
      </c>
      <c r="AR142" s="5">
        <v>18</v>
      </c>
      <c r="AS142" s="5">
        <v>12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0</v>
      </c>
      <c r="AY142" s="6" t="s">
        <v>66</v>
      </c>
      <c r="AZ142" s="5">
        <v>0</v>
      </c>
      <c r="BA142" s="5">
        <v>6</v>
      </c>
      <c r="BB142" s="5">
        <v>4</v>
      </c>
      <c r="BC142" s="5">
        <v>4</v>
      </c>
      <c r="BD142" s="5">
        <v>1</v>
      </c>
      <c r="BE142" s="5">
        <v>1</v>
      </c>
      <c r="BF142" s="45" t="s">
        <v>705</v>
      </c>
      <c r="BJ142" s="37"/>
      <c r="BK142" s="5" t="s">
        <v>0</v>
      </c>
      <c r="BL142" s="7">
        <v>0</v>
      </c>
      <c r="BM142" s="5" t="b">
        <v>0</v>
      </c>
      <c r="CO142" s="31" t="str">
        <f t="shared" ref="CO142:CO151" si="36">"."&amp;SUBSTITUTE(SUBSTITUTE(SUBSTITUTE(SUBSTITUTE(A142, "(",""),")","")," ",""),"#","")</f>
        <v>.EXTRACT-BEXT-B</v>
      </c>
    </row>
    <row r="143" spans="1:93">
      <c r="A143" s="38" t="str">
        <f t="shared" si="22"/>
        <v>EXTRACT-C (EXT-C)</v>
      </c>
      <c r="C143" s="7" t="s">
        <v>547</v>
      </c>
      <c r="D143" s="7" t="s">
        <v>550</v>
      </c>
      <c r="E143" s="7" t="s">
        <v>452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39" t="s">
        <v>699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0</v>
      </c>
      <c r="AM143" s="6" t="s">
        <v>66</v>
      </c>
      <c r="AN143" s="5">
        <v>0</v>
      </c>
      <c r="AO143" s="5">
        <v>6</v>
      </c>
      <c r="AP143" s="5" t="b">
        <v>1</v>
      </c>
      <c r="AQ143" s="39" t="s">
        <v>699</v>
      </c>
      <c r="AR143" s="5">
        <v>7</v>
      </c>
      <c r="AS143" s="5">
        <v>24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0</v>
      </c>
      <c r="AY143" s="6" t="s">
        <v>66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45" t="s">
        <v>705</v>
      </c>
      <c r="BJ143" s="37"/>
      <c r="BK143" s="5" t="s">
        <v>0</v>
      </c>
      <c r="BL143" s="7">
        <v>0</v>
      </c>
      <c r="BM143" s="5" t="b">
        <v>0</v>
      </c>
      <c r="CO143" s="31" t="str">
        <f t="shared" si="36"/>
        <v>.EXTRACT-CEXT-C</v>
      </c>
    </row>
    <row r="144" spans="1:93">
      <c r="A144" s="38" t="str">
        <f t="shared" si="22"/>
        <v>EXTRACT-D (EXT-D)</v>
      </c>
      <c r="C144" s="7" t="s">
        <v>546</v>
      </c>
      <c r="D144" s="7" t="s">
        <v>549</v>
      </c>
      <c r="E144" s="7" t="s">
        <v>452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39" t="s">
        <v>699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0</v>
      </c>
      <c r="AM144" s="6" t="s">
        <v>66</v>
      </c>
      <c r="AN144" s="5">
        <v>0</v>
      </c>
      <c r="AO144" s="5">
        <v>6</v>
      </c>
      <c r="AP144" s="5" t="b">
        <v>1</v>
      </c>
      <c r="AQ144" s="39" t="s">
        <v>699</v>
      </c>
      <c r="AR144" s="5">
        <v>19</v>
      </c>
      <c r="AS144" s="5">
        <v>6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0</v>
      </c>
      <c r="AY144" s="6" t="s">
        <v>66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45" t="s">
        <v>705</v>
      </c>
      <c r="BJ144" s="37"/>
      <c r="BK144" s="5" t="s">
        <v>0</v>
      </c>
      <c r="BL144" s="7">
        <v>0</v>
      </c>
      <c r="BM144" s="5" t="b">
        <v>0</v>
      </c>
      <c r="CO144" s="31" t="str">
        <f t="shared" si="36"/>
        <v>.EXTRACT-DEXT-D</v>
      </c>
    </row>
    <row r="145" spans="1:93">
      <c r="A145" s="38" t="str">
        <f t="shared" si="22"/>
        <v>VERSE-A (VRS-A)</v>
      </c>
      <c r="C145" s="7" t="s">
        <v>574</v>
      </c>
      <c r="D145" s="7" t="s">
        <v>575</v>
      </c>
      <c r="E145" s="7" t="s">
        <v>452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39" t="s">
        <v>699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0</v>
      </c>
      <c r="AM145" s="6" t="s">
        <v>66</v>
      </c>
      <c r="AN145" s="5">
        <v>0</v>
      </c>
      <c r="AO145" s="5">
        <v>6</v>
      </c>
      <c r="AP145" s="5" t="b">
        <v>1</v>
      </c>
      <c r="AQ145" s="39" t="s">
        <v>699</v>
      </c>
      <c r="AR145" s="5">
        <v>1</v>
      </c>
      <c r="AS145" s="5">
        <v>48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0</v>
      </c>
      <c r="AY145" s="6" t="s">
        <v>66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45" t="s">
        <v>705</v>
      </c>
      <c r="BJ145" s="37"/>
      <c r="BK145" s="5" t="s">
        <v>0</v>
      </c>
      <c r="BL145" s="7">
        <v>0</v>
      </c>
      <c r="BM145" s="5" t="b">
        <v>0</v>
      </c>
      <c r="CO145" s="31" t="str">
        <f t="shared" ref="CO145:CO146" si="37">"."&amp;SUBSTITUTE(SUBSTITUTE(SUBSTITUTE(SUBSTITUTE(A145, "(",""),")","")," ",""),"#","")</f>
        <v>.VERSE-AVRS-A</v>
      </c>
    </row>
    <row r="146" spans="1:93">
      <c r="A146" s="38" t="str">
        <f t="shared" si="22"/>
        <v>VERSE-B (VRS-B)</v>
      </c>
      <c r="C146" s="7" t="s">
        <v>576</v>
      </c>
      <c r="D146" s="7" t="s">
        <v>577</v>
      </c>
      <c r="E146" s="7" t="s">
        <v>452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39" t="s">
        <v>699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0</v>
      </c>
      <c r="AM146" s="6" t="s">
        <v>66</v>
      </c>
      <c r="AN146" s="5">
        <v>0</v>
      </c>
      <c r="AO146" s="5">
        <v>6</v>
      </c>
      <c r="AP146" s="5" t="b">
        <v>1</v>
      </c>
      <c r="AQ146" s="39" t="s">
        <v>699</v>
      </c>
      <c r="AR146" s="5">
        <v>18</v>
      </c>
      <c r="AS146" s="5">
        <v>12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0</v>
      </c>
      <c r="AY146" s="6" t="s">
        <v>66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45" t="s">
        <v>705</v>
      </c>
      <c r="BJ146" s="37"/>
      <c r="BK146" s="5" t="s">
        <v>0</v>
      </c>
      <c r="BL146" s="7">
        <v>0</v>
      </c>
      <c r="BM146" s="5" t="b">
        <v>0</v>
      </c>
      <c r="CO146" s="31" t="str">
        <f t="shared" si="37"/>
        <v>.VERSE-BVRS-B</v>
      </c>
    </row>
    <row r="147" spans="1:93">
      <c r="A147" s="38" t="str">
        <f t="shared" si="22"/>
        <v>BOX-A (BOX-A)</v>
      </c>
      <c r="C147" s="7" t="s">
        <v>552</v>
      </c>
      <c r="D147" s="7" t="s">
        <v>552</v>
      </c>
      <c r="E147" s="7" t="s">
        <v>452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39" t="s">
        <v>699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0</v>
      </c>
      <c r="AM147" s="6" t="s">
        <v>66</v>
      </c>
      <c r="AN147" s="5">
        <v>0</v>
      </c>
      <c r="AO147" s="5">
        <v>6</v>
      </c>
      <c r="AP147" s="5" t="b">
        <v>1</v>
      </c>
      <c r="AQ147" s="39" t="s">
        <v>699</v>
      </c>
      <c r="AR147" s="5">
        <v>1</v>
      </c>
      <c r="AS147" s="5">
        <v>48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0</v>
      </c>
      <c r="AY147" s="6" t="s">
        <v>66</v>
      </c>
      <c r="AZ147" s="5">
        <v>0</v>
      </c>
      <c r="BA147" s="5">
        <v>6</v>
      </c>
      <c r="BB147" s="5">
        <v>4</v>
      </c>
      <c r="BC147" s="5">
        <v>4</v>
      </c>
      <c r="BD147" s="5">
        <v>1</v>
      </c>
      <c r="BE147" s="5">
        <v>1</v>
      </c>
      <c r="BF147" s="45" t="s">
        <v>705</v>
      </c>
      <c r="BJ147" s="37"/>
      <c r="BK147" s="5" t="s">
        <v>0</v>
      </c>
      <c r="BL147" s="7">
        <v>0</v>
      </c>
      <c r="BM147" s="5" t="b">
        <v>0</v>
      </c>
      <c r="CO147" s="31" t="str">
        <f t="shared" si="36"/>
        <v>.BOX-ABOX-A</v>
      </c>
    </row>
    <row r="148" spans="1:93">
      <c r="A148" s="38" t="str">
        <f t="shared" si="22"/>
        <v>BOX-B (BOX-B)</v>
      </c>
      <c r="C148" s="7" t="s">
        <v>553</v>
      </c>
      <c r="D148" s="7" t="s">
        <v>553</v>
      </c>
      <c r="E148" s="7" t="s">
        <v>452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39" t="s">
        <v>699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7">
        <v>0</v>
      </c>
      <c r="AB148" s="7">
        <v>0</v>
      </c>
      <c r="AC148" s="7">
        <v>6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0</v>
      </c>
      <c r="AM148" s="6" t="s">
        <v>66</v>
      </c>
      <c r="AN148" s="5">
        <v>0</v>
      </c>
      <c r="AO148" s="5">
        <v>6</v>
      </c>
      <c r="AP148" s="5" t="b">
        <v>1</v>
      </c>
      <c r="AQ148" s="39" t="s">
        <v>699</v>
      </c>
      <c r="AR148" s="5">
        <v>18</v>
      </c>
      <c r="AS148" s="5">
        <v>12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0</v>
      </c>
      <c r="AY148" s="6" t="s">
        <v>66</v>
      </c>
      <c r="AZ148" s="5">
        <v>0</v>
      </c>
      <c r="BA148" s="5">
        <v>6</v>
      </c>
      <c r="BB148" s="5">
        <v>4</v>
      </c>
      <c r="BC148" s="5">
        <v>4</v>
      </c>
      <c r="BD148" s="5">
        <v>1</v>
      </c>
      <c r="BE148" s="5">
        <v>1</v>
      </c>
      <c r="BF148" s="45" t="s">
        <v>705</v>
      </c>
      <c r="BJ148" s="37"/>
      <c r="BK148" s="5" t="s">
        <v>0</v>
      </c>
      <c r="BL148" s="7">
        <v>0</v>
      </c>
      <c r="BM148" s="5" t="b">
        <v>0</v>
      </c>
      <c r="CO148" s="31" t="str">
        <f t="shared" si="36"/>
        <v>.BOX-BBOX-B</v>
      </c>
    </row>
    <row r="149" spans="1:93">
      <c r="A149" s="38" t="str">
        <f t="shared" si="22"/>
        <v>LETTER-A (LTR-A)</v>
      </c>
      <c r="C149" s="7" t="s">
        <v>554</v>
      </c>
      <c r="D149" s="7" t="s">
        <v>555</v>
      </c>
      <c r="E149" s="7" t="s">
        <v>452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39" t="s">
        <v>699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7">
        <v>0</v>
      </c>
      <c r="AB149" s="7">
        <v>0</v>
      </c>
      <c r="AC149" s="7">
        <v>6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0</v>
      </c>
      <c r="AM149" s="6" t="s">
        <v>66</v>
      </c>
      <c r="AN149" s="5">
        <v>0</v>
      </c>
      <c r="AO149" s="5">
        <v>6</v>
      </c>
      <c r="AP149" s="5" t="b">
        <v>1</v>
      </c>
      <c r="AQ149" s="39" t="s">
        <v>699</v>
      </c>
      <c r="AR149" s="5">
        <v>1</v>
      </c>
      <c r="AS149" s="5">
        <v>48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0</v>
      </c>
      <c r="AY149" s="6" t="s">
        <v>66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45" t="s">
        <v>705</v>
      </c>
      <c r="BJ149" s="37"/>
      <c r="BK149" s="5" t="s">
        <v>0</v>
      </c>
      <c r="BL149" s="7">
        <v>0</v>
      </c>
      <c r="BM149" s="5" t="b">
        <v>0</v>
      </c>
      <c r="CO149" s="31" t="str">
        <f t="shared" si="36"/>
        <v>.LETTER-ALTR-A</v>
      </c>
    </row>
    <row r="150" spans="1:93">
      <c r="A150" s="38" t="str">
        <f t="shared" si="22"/>
        <v>LETTER-B (LTR-B)</v>
      </c>
      <c r="C150" s="7" t="s">
        <v>556</v>
      </c>
      <c r="D150" s="7" t="s">
        <v>557</v>
      </c>
      <c r="E150" s="7" t="s">
        <v>452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39" t="s">
        <v>699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7">
        <v>0</v>
      </c>
      <c r="AB150" s="7">
        <v>0</v>
      </c>
      <c r="AC150" s="7">
        <v>6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0</v>
      </c>
      <c r="AM150" s="6" t="s">
        <v>66</v>
      </c>
      <c r="AN150" s="5">
        <v>0</v>
      </c>
      <c r="AO150" s="5">
        <v>6</v>
      </c>
      <c r="AP150" s="5" t="b">
        <v>1</v>
      </c>
      <c r="AQ150" s="39" t="s">
        <v>699</v>
      </c>
      <c r="AR150" s="5">
        <v>18</v>
      </c>
      <c r="AS150" s="5">
        <v>12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0</v>
      </c>
      <c r="AY150" s="6" t="s">
        <v>66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45" t="s">
        <v>705</v>
      </c>
      <c r="BJ150" s="37"/>
      <c r="BK150" s="5" t="s">
        <v>0</v>
      </c>
      <c r="BL150" s="7">
        <v>0</v>
      </c>
      <c r="BM150" s="5" t="b">
        <v>0</v>
      </c>
      <c r="CO150" s="31" t="str">
        <f t="shared" si="36"/>
        <v>.LETTER-BLTR-B</v>
      </c>
    </row>
    <row r="151" spans="1:93">
      <c r="A151" s="38" t="str">
        <f t="shared" si="22"/>
        <v>LETTER-C (LTR-C)</v>
      </c>
      <c r="C151" s="7" t="s">
        <v>558</v>
      </c>
      <c r="D151" s="7" t="s">
        <v>559</v>
      </c>
      <c r="E151" s="7" t="s">
        <v>452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39" t="s">
        <v>699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7">
        <v>0</v>
      </c>
      <c r="AB151" s="7">
        <v>0</v>
      </c>
      <c r="AC151" s="7">
        <v>6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0</v>
      </c>
      <c r="AM151" s="6" t="s">
        <v>66</v>
      </c>
      <c r="AN151" s="5">
        <v>0</v>
      </c>
      <c r="AO151" s="5">
        <v>6</v>
      </c>
      <c r="AP151" s="5" t="b">
        <v>1</v>
      </c>
      <c r="AQ151" s="39" t="s">
        <v>699</v>
      </c>
      <c r="AR151" s="5">
        <v>7</v>
      </c>
      <c r="AS151" s="5">
        <v>24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0</v>
      </c>
      <c r="AY151" s="6" t="s">
        <v>66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45" t="s">
        <v>705</v>
      </c>
      <c r="BJ151" s="37"/>
      <c r="BK151" s="5" t="s">
        <v>0</v>
      </c>
      <c r="BL151" s="7">
        <v>0</v>
      </c>
      <c r="BM151" s="5" t="b">
        <v>0</v>
      </c>
      <c r="CO151" s="31" t="str">
        <f t="shared" si="36"/>
        <v>.LETTER-CLTR-C</v>
      </c>
    </row>
    <row r="152" spans="1:93">
      <c r="A152" s="38" t="str">
        <f t="shared" si="22"/>
        <v>LETTER-D (LTR-D)</v>
      </c>
      <c r="C152" s="7" t="s">
        <v>560</v>
      </c>
      <c r="D152" s="7" t="s">
        <v>561</v>
      </c>
      <c r="E152" s="7" t="s">
        <v>452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39" t="s">
        <v>699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7">
        <v>0</v>
      </c>
      <c r="AB152" s="7">
        <v>0</v>
      </c>
      <c r="AC152" s="7">
        <v>6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0</v>
      </c>
      <c r="AM152" s="6" t="s">
        <v>66</v>
      </c>
      <c r="AN152" s="5">
        <v>0</v>
      </c>
      <c r="AO152" s="5">
        <v>6</v>
      </c>
      <c r="AP152" s="5" t="b">
        <v>1</v>
      </c>
      <c r="AQ152" s="39" t="s">
        <v>699</v>
      </c>
      <c r="AR152" s="5">
        <v>19</v>
      </c>
      <c r="AS152" s="5">
        <v>6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0</v>
      </c>
      <c r="AY152" s="6" t="s">
        <v>66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45" t="s">
        <v>705</v>
      </c>
      <c r="BJ152" s="37"/>
      <c r="BK152" s="5" t="s">
        <v>0</v>
      </c>
      <c r="BL152" s="7">
        <v>0</v>
      </c>
      <c r="BM152" s="5" t="b">
        <v>0</v>
      </c>
      <c r="CO152" s="31" t="str">
        <f t="shared" ref="CO152:CO154" si="38">"."&amp;SUBSTITUTE(SUBSTITUTE(SUBSTITUTE(SUBSTITUTE(A152, "(",""),")","")," ",""),"#","")</f>
        <v>.LETTER-DLTR-D</v>
      </c>
    </row>
    <row r="153" spans="1:93">
      <c r="A153" s="38" t="str">
        <f t="shared" si="22"/>
        <v>COMPUTER-A (COM-A)</v>
      </c>
      <c r="C153" s="7" t="s">
        <v>562</v>
      </c>
      <c r="D153" s="7" t="s">
        <v>563</v>
      </c>
      <c r="E153" s="7" t="s">
        <v>452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39" t="s">
        <v>699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1</v>
      </c>
      <c r="Y153" s="5" t="b">
        <v>0</v>
      </c>
      <c r="Z153" s="5" t="b">
        <v>0</v>
      </c>
      <c r="AA153" s="7">
        <v>0</v>
      </c>
      <c r="AB153" s="7">
        <v>0</v>
      </c>
      <c r="AC153" s="7">
        <v>6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0</v>
      </c>
      <c r="AM153" s="6" t="s">
        <v>66</v>
      </c>
      <c r="AN153" s="5">
        <v>0</v>
      </c>
      <c r="AO153" s="5">
        <v>6</v>
      </c>
      <c r="AP153" s="5" t="b">
        <v>1</v>
      </c>
      <c r="AQ153" s="39" t="s">
        <v>699</v>
      </c>
      <c r="AR153" s="5">
        <v>1</v>
      </c>
      <c r="AS153" s="5">
        <v>48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0</v>
      </c>
      <c r="AY153" s="6" t="s">
        <v>66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45" t="s">
        <v>705</v>
      </c>
      <c r="BJ153" s="37"/>
      <c r="BK153" s="5" t="s">
        <v>0</v>
      </c>
      <c r="BL153" s="7">
        <v>0</v>
      </c>
      <c r="BM153" s="5" t="b">
        <v>0</v>
      </c>
      <c r="CO153" s="31" t="str">
        <f t="shared" si="38"/>
        <v>.COMPUTER-ACOM-A</v>
      </c>
    </row>
    <row r="154" spans="1:93">
      <c r="A154" s="38" t="str">
        <f t="shared" si="22"/>
        <v>COMPUTER-B (COM-B)</v>
      </c>
      <c r="C154" s="7" t="s">
        <v>564</v>
      </c>
      <c r="D154" s="7" t="s">
        <v>565</v>
      </c>
      <c r="E154" s="7" t="s">
        <v>452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39" t="s">
        <v>699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1</v>
      </c>
      <c r="Y154" s="5" t="b">
        <v>0</v>
      </c>
      <c r="Z154" s="5" t="b">
        <v>0</v>
      </c>
      <c r="AA154" s="7">
        <v>0</v>
      </c>
      <c r="AB154" s="7">
        <v>0</v>
      </c>
      <c r="AC154" s="7">
        <v>6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0</v>
      </c>
      <c r="AM154" s="6" t="s">
        <v>66</v>
      </c>
      <c r="AN154" s="5">
        <v>0</v>
      </c>
      <c r="AO154" s="5">
        <v>6</v>
      </c>
      <c r="AP154" s="5" t="b">
        <v>1</v>
      </c>
      <c r="AQ154" s="39" t="s">
        <v>699</v>
      </c>
      <c r="AR154" s="5">
        <v>18</v>
      </c>
      <c r="AS154" s="5">
        <v>12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0</v>
      </c>
      <c r="AY154" s="6" t="s">
        <v>66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45" t="s">
        <v>705</v>
      </c>
      <c r="BJ154" s="37"/>
      <c r="BK154" s="5" t="s">
        <v>0</v>
      </c>
      <c r="BL154" s="7">
        <v>0</v>
      </c>
      <c r="BM154" s="5" t="b">
        <v>0</v>
      </c>
      <c r="CO154" s="31" t="str">
        <f t="shared" si="38"/>
        <v>.COMPUTER-BCOM-B</v>
      </c>
    </row>
    <row r="155" spans="1:93">
      <c r="A155" s="38" t="str">
        <f t="shared" si="22"/>
        <v>SIDEBAR-A (SIDE-A)</v>
      </c>
      <c r="C155" s="7" t="s">
        <v>566</v>
      </c>
      <c r="D155" s="7" t="s">
        <v>568</v>
      </c>
      <c r="E155" s="7" t="s">
        <v>452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39" t="s">
        <v>699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1</v>
      </c>
      <c r="Y155" s="5" t="b">
        <v>0</v>
      </c>
      <c r="Z155" s="5" t="b">
        <v>0</v>
      </c>
      <c r="AA155" s="7">
        <v>0</v>
      </c>
      <c r="AB155" s="7">
        <v>0</v>
      </c>
      <c r="AC155" s="7">
        <v>6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0</v>
      </c>
      <c r="AM155" s="6" t="s">
        <v>66</v>
      </c>
      <c r="AN155" s="5">
        <v>0</v>
      </c>
      <c r="AO155" s="5">
        <v>6</v>
      </c>
      <c r="AP155" s="5" t="b">
        <v>1</v>
      </c>
      <c r="AQ155" s="39" t="s">
        <v>699</v>
      </c>
      <c r="AR155" s="5">
        <v>1</v>
      </c>
      <c r="AS155" s="5">
        <v>48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0</v>
      </c>
      <c r="AY155" s="6" t="s">
        <v>66</v>
      </c>
      <c r="AZ155" s="5">
        <v>0</v>
      </c>
      <c r="BA155" s="5">
        <v>6</v>
      </c>
      <c r="BB155" s="5">
        <v>4</v>
      </c>
      <c r="BC155" s="5">
        <v>4</v>
      </c>
      <c r="BD155" s="5">
        <v>1</v>
      </c>
      <c r="BE155" s="5">
        <v>1</v>
      </c>
      <c r="BF155" s="45" t="s">
        <v>705</v>
      </c>
      <c r="BJ155" s="37"/>
      <c r="BK155" s="5" t="s">
        <v>0</v>
      </c>
      <c r="BL155" s="7">
        <v>0</v>
      </c>
      <c r="BM155" s="5" t="b">
        <v>0</v>
      </c>
      <c r="CO155" s="31" t="str">
        <f t="shared" ref="CO155:CO160" si="39">"."&amp;SUBSTITUTE(SUBSTITUTE(SUBSTITUTE(SUBSTITUTE(A155, "(",""),")","")," ",""),"#","")</f>
        <v>.SIDEBAR-ASIDE-A</v>
      </c>
    </row>
    <row r="156" spans="1:93">
      <c r="A156" s="38" t="str">
        <f t="shared" si="22"/>
        <v>SIDEBAR-B (SIDE-B)</v>
      </c>
      <c r="C156" s="7" t="s">
        <v>567</v>
      </c>
      <c r="D156" s="7" t="s">
        <v>569</v>
      </c>
      <c r="E156" s="7" t="s">
        <v>452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39" t="s">
        <v>699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1</v>
      </c>
      <c r="Y156" s="5" t="b">
        <v>0</v>
      </c>
      <c r="Z156" s="5" t="b">
        <v>0</v>
      </c>
      <c r="AA156" s="7">
        <v>0</v>
      </c>
      <c r="AB156" s="7">
        <v>0</v>
      </c>
      <c r="AC156" s="7">
        <v>6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0</v>
      </c>
      <c r="AM156" s="6" t="s">
        <v>66</v>
      </c>
      <c r="AN156" s="5">
        <v>0</v>
      </c>
      <c r="AO156" s="5">
        <v>6</v>
      </c>
      <c r="AP156" s="5" t="b">
        <v>1</v>
      </c>
      <c r="AQ156" s="39" t="s">
        <v>699</v>
      </c>
      <c r="AR156" s="5">
        <v>18</v>
      </c>
      <c r="AS156" s="5">
        <v>12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0</v>
      </c>
      <c r="AY156" s="6" t="s">
        <v>66</v>
      </c>
      <c r="AZ156" s="5">
        <v>0</v>
      </c>
      <c r="BA156" s="5">
        <v>6</v>
      </c>
      <c r="BB156" s="5">
        <v>4</v>
      </c>
      <c r="BC156" s="5">
        <v>4</v>
      </c>
      <c r="BD156" s="5">
        <v>1</v>
      </c>
      <c r="BE156" s="5">
        <v>1</v>
      </c>
      <c r="BF156" s="45" t="s">
        <v>705</v>
      </c>
      <c r="BJ156" s="37"/>
      <c r="BK156" s="5" t="s">
        <v>0</v>
      </c>
      <c r="BL156" s="7">
        <v>0</v>
      </c>
      <c r="BM156" s="5" t="b">
        <v>0</v>
      </c>
      <c r="CO156" s="31" t="str">
        <f t="shared" si="39"/>
        <v>.SIDEBAR-BSIDE-B</v>
      </c>
    </row>
    <row r="157" spans="1:93">
      <c r="A157" s="38" t="str">
        <f t="shared" si="22"/>
        <v>PULL-QUOTE (PQ)</v>
      </c>
      <c r="C157" s="7" t="s">
        <v>421</v>
      </c>
      <c r="D157" s="7" t="s">
        <v>422</v>
      </c>
      <c r="E157" s="7" t="s">
        <v>452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39" t="s">
        <v>699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1</v>
      </c>
      <c r="Y157" s="5" t="b">
        <v>0</v>
      </c>
      <c r="Z157" s="5" t="b">
        <v>0</v>
      </c>
      <c r="AA157" s="7">
        <v>0</v>
      </c>
      <c r="AB157" s="7">
        <v>0</v>
      </c>
      <c r="AC157" s="7">
        <v>6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0</v>
      </c>
      <c r="AM157" s="6" t="s">
        <v>66</v>
      </c>
      <c r="AN157" s="5">
        <v>0</v>
      </c>
      <c r="AO157" s="5">
        <v>6</v>
      </c>
      <c r="AP157" s="5" t="b">
        <v>1</v>
      </c>
      <c r="AQ157" s="39" t="s">
        <v>699</v>
      </c>
      <c r="AR157" s="5">
        <v>1</v>
      </c>
      <c r="AS157" s="5">
        <v>48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0</v>
      </c>
      <c r="AY157" s="6" t="s">
        <v>66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45" t="s">
        <v>705</v>
      </c>
      <c r="BJ157" s="37"/>
      <c r="BK157" s="5" t="s">
        <v>0</v>
      </c>
      <c r="BL157" s="7">
        <v>0</v>
      </c>
      <c r="BM157" s="5" t="b">
        <v>0</v>
      </c>
      <c r="CO157" s="31" t="str">
        <f t="shared" si="39"/>
        <v>.PULL-QUOTEPQ</v>
      </c>
    </row>
    <row r="158" spans="1:93">
      <c r="A158" s="38" t="str">
        <f t="shared" si="22"/>
        <v>IMAGE (IMG)</v>
      </c>
      <c r="C158" s="7" t="s">
        <v>570</v>
      </c>
      <c r="D158" s="7" t="s">
        <v>571</v>
      </c>
      <c r="E158" s="7" t="s">
        <v>452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39" t="s">
        <v>699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1</v>
      </c>
      <c r="Y158" s="5" t="b">
        <v>0</v>
      </c>
      <c r="Z158" s="5" t="b">
        <v>0</v>
      </c>
      <c r="AA158" s="7">
        <v>0</v>
      </c>
      <c r="AB158" s="7">
        <v>0</v>
      </c>
      <c r="AC158" s="7">
        <v>6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0</v>
      </c>
      <c r="AM158" s="6" t="s">
        <v>66</v>
      </c>
      <c r="AN158" s="5">
        <v>0</v>
      </c>
      <c r="AO158" s="5">
        <v>6</v>
      </c>
      <c r="AP158" s="5" t="b">
        <v>1</v>
      </c>
      <c r="AQ158" s="39" t="s">
        <v>699</v>
      </c>
      <c r="AR158" s="5">
        <v>1</v>
      </c>
      <c r="AS158" s="5">
        <v>48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0</v>
      </c>
      <c r="AY158" s="6" t="s">
        <v>66</v>
      </c>
      <c r="AZ158" s="5">
        <v>0</v>
      </c>
      <c r="BA158" s="5">
        <v>6</v>
      </c>
      <c r="BB158" s="5">
        <v>4</v>
      </c>
      <c r="BC158" s="5">
        <v>4</v>
      </c>
      <c r="BD158" s="5">
        <v>1</v>
      </c>
      <c r="BE158" s="5">
        <v>1</v>
      </c>
      <c r="BF158" s="45" t="s">
        <v>705</v>
      </c>
      <c r="BJ158" s="37"/>
      <c r="BK158" s="5" t="s">
        <v>0</v>
      </c>
      <c r="BL158" s="7">
        <v>0</v>
      </c>
      <c r="BM158" s="5" t="b">
        <v>0</v>
      </c>
      <c r="CO158" s="31" t="str">
        <f t="shared" si="39"/>
        <v>.IMAGEIMG</v>
      </c>
    </row>
    <row r="159" spans="1:93">
      <c r="A159" s="38" t="str">
        <f>IF($D159="","",TRIM($C159)&amp;" "&amp;CHAR(40)&amp;TRIM($D159)&amp;CHAR(41))</f>
        <v>TABLE (TBL)</v>
      </c>
      <c r="C159" s="7" t="s">
        <v>572</v>
      </c>
      <c r="D159" s="7" t="s">
        <v>573</v>
      </c>
      <c r="E159" s="7" t="s">
        <v>452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39" t="s">
        <v>699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1</v>
      </c>
      <c r="Y159" s="5" t="b">
        <v>0</v>
      </c>
      <c r="Z159" s="5" t="b">
        <v>0</v>
      </c>
      <c r="AA159" s="7">
        <v>0</v>
      </c>
      <c r="AB159" s="7">
        <v>0</v>
      </c>
      <c r="AC159" s="7">
        <v>6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0</v>
      </c>
      <c r="AM159" s="6" t="s">
        <v>66</v>
      </c>
      <c r="AN159" s="5">
        <v>0</v>
      </c>
      <c r="AO159" s="5">
        <v>6</v>
      </c>
      <c r="AP159" s="5" t="b">
        <v>1</v>
      </c>
      <c r="AQ159" s="39" t="s">
        <v>699</v>
      </c>
      <c r="AR159" s="5">
        <v>1</v>
      </c>
      <c r="AS159" s="5">
        <v>48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0</v>
      </c>
      <c r="AY159" s="6" t="s">
        <v>66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45" t="s">
        <v>705</v>
      </c>
      <c r="BJ159" s="37"/>
      <c r="BK159" s="5" t="s">
        <v>0</v>
      </c>
      <c r="BL159" s="7">
        <v>0</v>
      </c>
      <c r="BM159" s="5" t="b">
        <v>0</v>
      </c>
      <c r="CO159" s="31" t="str">
        <f>"."&amp;SUBSTITUTE(SUBSTITUTE(SUBSTITUTE(SUBSTITUTE(A159, "(",""),")","")," ",""),"#","")</f>
        <v>.TABLETBL</v>
      </c>
    </row>
    <row r="160" spans="1:93">
      <c r="A160" s="38" t="str">
        <f t="shared" si="22"/>
        <v>RECIPE (REC)</v>
      </c>
      <c r="C160" s="7" t="s">
        <v>611</v>
      </c>
      <c r="D160" s="7" t="s">
        <v>612</v>
      </c>
      <c r="E160" s="7" t="s">
        <v>452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39" t="s">
        <v>699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1</v>
      </c>
      <c r="Y160" s="5" t="b">
        <v>0</v>
      </c>
      <c r="Z160" s="5" t="b">
        <v>0</v>
      </c>
      <c r="AA160" s="7">
        <v>0</v>
      </c>
      <c r="AB160" s="7">
        <v>0</v>
      </c>
      <c r="AC160" s="7">
        <v>6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0</v>
      </c>
      <c r="AM160" s="6" t="s">
        <v>66</v>
      </c>
      <c r="AN160" s="5">
        <v>0</v>
      </c>
      <c r="AO160" s="5">
        <v>6</v>
      </c>
      <c r="AP160" s="5" t="b">
        <v>1</v>
      </c>
      <c r="AQ160" s="39" t="s">
        <v>699</v>
      </c>
      <c r="AR160" s="5">
        <v>1</v>
      </c>
      <c r="AS160" s="5">
        <v>48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0</v>
      </c>
      <c r="AY160" s="6" t="s">
        <v>66</v>
      </c>
      <c r="AZ160" s="5">
        <v>0</v>
      </c>
      <c r="BA160" s="5">
        <v>6</v>
      </c>
      <c r="BB160" s="5">
        <v>4</v>
      </c>
      <c r="BC160" s="5">
        <v>4</v>
      </c>
      <c r="BD160" s="5">
        <v>1</v>
      </c>
      <c r="BE160" s="5">
        <v>1</v>
      </c>
      <c r="BF160" s="45" t="s">
        <v>705</v>
      </c>
      <c r="BJ160" s="37"/>
      <c r="BK160" s="5" t="s">
        <v>0</v>
      </c>
      <c r="BL160" s="7">
        <v>0</v>
      </c>
      <c r="BM160" s="5" t="b">
        <v>0</v>
      </c>
      <c r="CO160" s="31" t="str">
        <f t="shared" si="39"/>
        <v>.RECIPEREC</v>
      </c>
    </row>
    <row r="161" spans="1:93">
      <c r="A161" s="38" t="str">
        <f t="shared" si="22"/>
        <v>END (END)</v>
      </c>
      <c r="C161" s="7" t="s">
        <v>613</v>
      </c>
      <c r="D161" s="7" t="s">
        <v>613</v>
      </c>
      <c r="E161" s="7" t="s">
        <v>452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39" t="s">
        <v>699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1</v>
      </c>
      <c r="Y161" s="5" t="b">
        <v>0</v>
      </c>
      <c r="Z161" s="5" t="b">
        <v>0</v>
      </c>
      <c r="AA161" s="7">
        <v>0</v>
      </c>
      <c r="AB161" s="7">
        <v>0</v>
      </c>
      <c r="AC161" s="7">
        <v>6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0</v>
      </c>
      <c r="AM161" s="6" t="s">
        <v>66</v>
      </c>
      <c r="AN161" s="5">
        <v>0</v>
      </c>
      <c r="AO161" s="5">
        <v>6</v>
      </c>
      <c r="AP161" s="5" t="b">
        <v>1</v>
      </c>
      <c r="AQ161" s="39" t="s">
        <v>699</v>
      </c>
      <c r="AR161" s="5">
        <v>1</v>
      </c>
      <c r="AS161" s="5">
        <v>48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0</v>
      </c>
      <c r="AY161" s="6" t="s">
        <v>66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45" t="s">
        <v>705</v>
      </c>
      <c r="BJ161" s="37"/>
      <c r="BK161" s="5" t="s">
        <v>0</v>
      </c>
      <c r="BL161" s="7">
        <v>0</v>
      </c>
      <c r="BM161" s="5" t="b">
        <v>0</v>
      </c>
      <c r="CO161" s="31" t="str">
        <f t="shared" ref="CO161" si="40">"."&amp;SUBSTITUTE(SUBSTITUTE(SUBSTITUTE(SUBSTITUTE(A161, "(",""),")","")," ",""),"#","")</f>
        <v>.ENDEND</v>
      </c>
    </row>
    <row r="162" spans="1:93">
      <c r="A162" s="38" t="str">
        <f t="shared" si="22"/>
        <v>bold (b)</v>
      </c>
      <c r="C162" s="7" t="s">
        <v>423</v>
      </c>
      <c r="D162" s="7" t="s">
        <v>424</v>
      </c>
      <c r="E162" s="38" t="str">
        <f t="shared" ref="E162:E185" si="41">IF($D162="","",TRIM($C162)&amp;" "&amp;CHAR(40)&amp;TRIM($D162)&amp;CHAR(41))</f>
        <v>bold (b)</v>
      </c>
      <c r="F162" s="5">
        <v>6</v>
      </c>
      <c r="G162" s="7" t="b">
        <v>1</v>
      </c>
      <c r="H162" s="5">
        <v>2</v>
      </c>
      <c r="I162" s="5" t="s">
        <v>67</v>
      </c>
      <c r="J162" s="7">
        <v>12</v>
      </c>
      <c r="K162" s="7" t="b">
        <v>0</v>
      </c>
      <c r="L162" s="5" t="b">
        <v>1</v>
      </c>
      <c r="M162" s="53" t="s">
        <v>698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/>
      <c r="Y162" s="5"/>
      <c r="Z162" s="5"/>
      <c r="BG162" s="6" t="s">
        <v>66</v>
      </c>
      <c r="BH162" s="5">
        <v>0</v>
      </c>
      <c r="BI162" s="5">
        <v>0</v>
      </c>
      <c r="BJ162" s="54" t="s">
        <v>710</v>
      </c>
      <c r="BK162" s="5" t="s">
        <v>70</v>
      </c>
      <c r="BL162" s="5"/>
      <c r="BM162" s="5" t="b">
        <v>0</v>
      </c>
      <c r="CO162" s="31" t="str">
        <f t="shared" ref="CO162:CO185" si="42">"."&amp;SUBSTITUTE(SUBSTITUTE(SUBSTITUTE(SUBSTITUTE(A162, "(",""),")","")," ",""),"#","")</f>
        <v>.boldb</v>
      </c>
    </row>
    <row r="163" spans="1:93">
      <c r="A163" s="38" t="str">
        <f t="shared" si="22"/>
        <v>ital (i)</v>
      </c>
      <c r="C163" s="7" t="s">
        <v>218</v>
      </c>
      <c r="D163" s="7" t="s">
        <v>425</v>
      </c>
      <c r="E163" s="38" t="str">
        <f t="shared" si="41"/>
        <v>ital (i)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1</v>
      </c>
      <c r="L163" s="5" t="b">
        <v>0</v>
      </c>
      <c r="M163" s="6" t="s">
        <v>698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4" t="s">
        <v>710</v>
      </c>
      <c r="BK163" s="5" t="s">
        <v>70</v>
      </c>
      <c r="BL163" s="5"/>
      <c r="BM163" s="5" t="b">
        <v>0</v>
      </c>
      <c r="CO163" s="31" t="str">
        <f t="shared" si="42"/>
        <v>.itali</v>
      </c>
    </row>
    <row r="164" spans="1:93">
      <c r="A164" s="38" t="str">
        <f t="shared" si="22"/>
        <v>underline (u)</v>
      </c>
      <c r="C164" s="7" t="s">
        <v>426</v>
      </c>
      <c r="D164" s="7" t="s">
        <v>427</v>
      </c>
      <c r="E164" s="38" t="str">
        <f t="shared" si="41"/>
        <v>underline (u)</v>
      </c>
      <c r="F164" s="5">
        <v>6</v>
      </c>
      <c r="G164" s="7" t="b">
        <v>0</v>
      </c>
      <c r="H164" s="5">
        <v>2</v>
      </c>
      <c r="I164" s="5" t="s">
        <v>67</v>
      </c>
      <c r="J164" s="7">
        <v>12</v>
      </c>
      <c r="K164" s="5" t="b">
        <v>0</v>
      </c>
      <c r="L164" s="5" t="b">
        <v>0</v>
      </c>
      <c r="M164" s="6" t="s">
        <v>698</v>
      </c>
      <c r="N164" s="5" t="b">
        <v>1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4" t="s">
        <v>710</v>
      </c>
      <c r="BK164" s="5" t="s">
        <v>70</v>
      </c>
      <c r="BL164" s="5"/>
      <c r="BM164" s="5" t="b">
        <v>0</v>
      </c>
      <c r="CO164" s="31" t="str">
        <f t="shared" si="42"/>
        <v>.underlineu</v>
      </c>
    </row>
    <row r="165" spans="1:93">
      <c r="A165" s="38" t="str">
        <f t="shared" si="22"/>
        <v>smallcaps (sc)</v>
      </c>
      <c r="C165" s="7" t="s">
        <v>428</v>
      </c>
      <c r="D165" s="7" t="s">
        <v>607</v>
      </c>
      <c r="E165" s="38" t="str">
        <f t="shared" si="41"/>
        <v>smallcaps (sc)</v>
      </c>
      <c r="F165" s="5">
        <v>6</v>
      </c>
      <c r="G165" s="7" t="b">
        <v>1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698</v>
      </c>
      <c r="N165" s="5" t="b">
        <v>0</v>
      </c>
      <c r="O165" s="5" t="b">
        <v>1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4" t="s">
        <v>710</v>
      </c>
      <c r="BK165" s="5" t="s">
        <v>70</v>
      </c>
      <c r="BL165" s="5"/>
      <c r="BM165" s="5" t="b">
        <v>0</v>
      </c>
      <c r="CO165" s="31" t="str">
        <f t="shared" si="42"/>
        <v>.smallcapssc</v>
      </c>
    </row>
    <row r="166" spans="1:93">
      <c r="A166" s="38" t="str">
        <f t="shared" si="22"/>
        <v>super (sup)</v>
      </c>
      <c r="C166" s="7" t="s">
        <v>429</v>
      </c>
      <c r="D166" s="7" t="s">
        <v>608</v>
      </c>
      <c r="E166" s="38" t="str">
        <f t="shared" si="41"/>
        <v>super (sup)</v>
      </c>
      <c r="F166" s="5">
        <v>6</v>
      </c>
      <c r="G166" s="7" t="b">
        <v>0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698</v>
      </c>
      <c r="N166" s="5" t="b">
        <v>0</v>
      </c>
      <c r="O166" s="5" t="b">
        <v>0</v>
      </c>
      <c r="P166" s="5" t="b">
        <v>1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4" t="s">
        <v>710</v>
      </c>
      <c r="BK166" s="5" t="s">
        <v>70</v>
      </c>
      <c r="BL166" s="5"/>
      <c r="BM166" s="5" t="b">
        <v>0</v>
      </c>
      <c r="CO166" s="31" t="str">
        <f t="shared" si="42"/>
        <v>.supersup</v>
      </c>
    </row>
    <row r="167" spans="1:93">
      <c r="A167" s="38" t="str">
        <f t="shared" si="22"/>
        <v>sub (sub)</v>
      </c>
      <c r="C167" s="7" t="s">
        <v>219</v>
      </c>
      <c r="D167" s="7" t="s">
        <v>219</v>
      </c>
      <c r="E167" s="38" t="str">
        <f t="shared" si="41"/>
        <v>sub (sub)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698</v>
      </c>
      <c r="N167" s="5" t="b">
        <v>0</v>
      </c>
      <c r="O167" s="5" t="b">
        <v>0</v>
      </c>
      <c r="P167" s="5" t="b">
        <v>0</v>
      </c>
      <c r="Q167" s="5" t="b">
        <v>1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4" t="s">
        <v>710</v>
      </c>
      <c r="BK167" s="5" t="s">
        <v>70</v>
      </c>
      <c r="BL167" s="5"/>
      <c r="BM167" s="5" t="b">
        <v>0</v>
      </c>
      <c r="CO167" s="31" t="str">
        <f t="shared" si="42"/>
        <v>.subsub</v>
      </c>
    </row>
    <row r="168" spans="1:93">
      <c r="A168" s="38" t="str">
        <f t="shared" si="22"/>
        <v>strike (str)</v>
      </c>
      <c r="C168" s="7" t="s">
        <v>430</v>
      </c>
      <c r="D168" s="7" t="s">
        <v>609</v>
      </c>
      <c r="E168" s="38" t="str">
        <f t="shared" si="41"/>
        <v>strike (str)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698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1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4" t="s">
        <v>710</v>
      </c>
      <c r="BK168" s="5" t="s">
        <v>70</v>
      </c>
      <c r="BL168" s="5"/>
      <c r="BM168" s="5" t="b">
        <v>0</v>
      </c>
      <c r="CO168" s="31" t="str">
        <f t="shared" si="42"/>
        <v>.strikestr</v>
      </c>
    </row>
    <row r="169" spans="1:93">
      <c r="A169" s="38" t="str">
        <f t="shared" si="22"/>
        <v>cstyle1 (cs1)</v>
      </c>
      <c r="C169" s="7" t="s">
        <v>578</v>
      </c>
      <c r="D169" s="7" t="s">
        <v>579</v>
      </c>
      <c r="E169" s="38" t="str">
        <f t="shared" si="41"/>
        <v>cstyle1 (cs1)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698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4" t="s">
        <v>710</v>
      </c>
      <c r="BK169" s="5" t="s">
        <v>70</v>
      </c>
      <c r="BL169" s="5"/>
      <c r="BM169" s="5" t="b">
        <v>0</v>
      </c>
      <c r="CO169" s="31" t="str">
        <f t="shared" si="42"/>
        <v>.cstyle1cs1</v>
      </c>
    </row>
    <row r="170" spans="1:93">
      <c r="A170" s="38" t="str">
        <f>IF($D170="","",TRIM($C170)&amp;" "&amp;CHAR(40)&amp;TRIM($D170)&amp;CHAR(41))</f>
        <v>cstyle2 (cs2)</v>
      </c>
      <c r="C170" s="7" t="s">
        <v>580</v>
      </c>
      <c r="D170" s="7" t="s">
        <v>581</v>
      </c>
      <c r="E170" s="38" t="str">
        <f t="shared" si="41"/>
        <v>cstyle2 (cs2)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5" t="b">
        <v>0</v>
      </c>
      <c r="L170" s="5" t="b">
        <v>0</v>
      </c>
      <c r="M170" s="6" t="s">
        <v>698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4" t="s">
        <v>710</v>
      </c>
      <c r="BK170" s="5" t="s">
        <v>70</v>
      </c>
      <c r="BL170" s="5"/>
      <c r="BM170" s="5" t="b">
        <v>0</v>
      </c>
      <c r="CO170" s="31" t="str">
        <f t="shared" ref="CO170" si="43">"."&amp;SUBSTITUTE(SUBSTITUTE(SUBSTITUTE(SUBSTITUTE(A170, "(",""),")","")," ",""),"#","")</f>
        <v>.cstyle2cs2</v>
      </c>
    </row>
    <row r="171" spans="1:93">
      <c r="A171" s="38" t="str">
        <f t="shared" si="22"/>
        <v>cs-head (csh)</v>
      </c>
      <c r="C171" s="7" t="s">
        <v>431</v>
      </c>
      <c r="D171" s="7" t="s">
        <v>432</v>
      </c>
      <c r="E171" s="38" t="str">
        <f t="shared" si="41"/>
        <v>cs-head (csh)</v>
      </c>
      <c r="F171" s="5">
        <v>6</v>
      </c>
      <c r="G171" s="7" t="b">
        <v>0</v>
      </c>
      <c r="H171" s="5">
        <v>2</v>
      </c>
      <c r="I171" s="5" t="s">
        <v>2</v>
      </c>
      <c r="J171" s="7">
        <v>12</v>
      </c>
      <c r="K171" s="5" t="b">
        <v>0</v>
      </c>
      <c r="L171" s="5" t="b">
        <v>0</v>
      </c>
      <c r="M171" s="6" t="s">
        <v>698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54" t="s">
        <v>710</v>
      </c>
      <c r="BK171" s="5" t="s">
        <v>70</v>
      </c>
      <c r="BL171" s="5"/>
      <c r="BM171" s="5" t="b">
        <v>0</v>
      </c>
      <c r="CO171" s="31" t="str">
        <f t="shared" si="42"/>
        <v>.cs-headcsh</v>
      </c>
    </row>
    <row r="172" spans="1:93">
      <c r="A172" s="38" t="str">
        <f t="shared" si="22"/>
        <v>cs-speaker (csp)</v>
      </c>
      <c r="C172" s="7" t="s">
        <v>433</v>
      </c>
      <c r="D172" s="7" t="s">
        <v>434</v>
      </c>
      <c r="E172" s="38" t="str">
        <f t="shared" si="41"/>
        <v>cs-speaker (csp)</v>
      </c>
      <c r="F172" s="5">
        <v>6</v>
      </c>
      <c r="G172" s="7" t="b">
        <v>0</v>
      </c>
      <c r="H172" s="5">
        <v>2</v>
      </c>
      <c r="I172" s="5" t="s">
        <v>2</v>
      </c>
      <c r="J172" s="7">
        <v>12</v>
      </c>
      <c r="K172" s="5" t="b">
        <v>0</v>
      </c>
      <c r="L172" s="5" t="b">
        <v>0</v>
      </c>
      <c r="M172" s="6" t="s">
        <v>698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58" t="s">
        <v>714</v>
      </c>
      <c r="BK172" s="5" t="s">
        <v>70</v>
      </c>
      <c r="BL172" s="5"/>
      <c r="BM172" s="5" t="b">
        <v>0</v>
      </c>
      <c r="CO172" s="31" t="str">
        <f t="shared" si="42"/>
        <v>.cs-speakercsp</v>
      </c>
    </row>
    <row r="173" spans="1:93">
      <c r="A173" s="38" t="str">
        <f t="shared" si="22"/>
        <v>cs-text-message (ctm)</v>
      </c>
      <c r="C173" s="7" t="s">
        <v>435</v>
      </c>
      <c r="D173" s="7" t="s">
        <v>436</v>
      </c>
      <c r="E173" s="38" t="str">
        <f t="shared" si="41"/>
        <v>cs-text-message (ctm)</v>
      </c>
      <c r="F173" s="5">
        <v>6</v>
      </c>
      <c r="G173" s="7" t="b">
        <v>0</v>
      </c>
      <c r="H173" s="5">
        <v>2</v>
      </c>
      <c r="I173" s="5" t="s">
        <v>72</v>
      </c>
      <c r="J173" s="7">
        <v>12</v>
      </c>
      <c r="K173" s="5" t="b">
        <v>0</v>
      </c>
      <c r="L173" s="5" t="b">
        <v>0</v>
      </c>
      <c r="M173" s="6" t="s">
        <v>698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58" t="s">
        <v>714</v>
      </c>
      <c r="BK173" s="5" t="s">
        <v>70</v>
      </c>
      <c r="BL173" s="5"/>
      <c r="BM173" s="5" t="b">
        <v>0</v>
      </c>
      <c r="CO173" s="31" t="str">
        <f t="shared" si="42"/>
        <v>.cs-text-messagectm</v>
      </c>
    </row>
    <row r="174" spans="1:93">
      <c r="A174" s="38" t="str">
        <f t="shared" si="22"/>
        <v>cs-computer (ccom)</v>
      </c>
      <c r="C174" s="7" t="s">
        <v>593</v>
      </c>
      <c r="D174" s="7" t="s">
        <v>582</v>
      </c>
      <c r="E174" s="38" t="str">
        <f t="shared" si="41"/>
        <v>cs-computer (ccom)</v>
      </c>
      <c r="F174" s="5">
        <v>6</v>
      </c>
      <c r="G174" s="7" t="b">
        <v>0</v>
      </c>
      <c r="H174" s="5">
        <v>2</v>
      </c>
      <c r="I174" s="5" t="s">
        <v>72</v>
      </c>
      <c r="J174" s="7">
        <v>12</v>
      </c>
      <c r="K174" s="5" t="b">
        <v>0</v>
      </c>
      <c r="L174" s="5" t="b">
        <v>0</v>
      </c>
      <c r="M174" s="6" t="s">
        <v>698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58" t="s">
        <v>714</v>
      </c>
      <c r="BK174" s="5" t="s">
        <v>70</v>
      </c>
      <c r="BL174" s="5"/>
      <c r="BM174" s="5" t="b">
        <v>0</v>
      </c>
      <c r="CO174" s="31" t="str">
        <f t="shared" ref="CO174" si="44">"."&amp;SUBSTITUTE(SUBSTITUTE(SUBSTITUTE(SUBSTITUTE(A174, "(",""),")","")," ",""),"#","")</f>
        <v>.cs-computerccom</v>
      </c>
    </row>
    <row r="175" spans="1:93">
      <c r="A175" s="38" t="str">
        <f t="shared" si="22"/>
        <v>cs-design-note (cdn)</v>
      </c>
      <c r="C175" s="7" t="s">
        <v>437</v>
      </c>
      <c r="D175" s="7" t="s">
        <v>438</v>
      </c>
      <c r="E175" s="38" t="str">
        <f t="shared" si="41"/>
        <v>cs-design-note (cdn)</v>
      </c>
      <c r="F175" s="5">
        <v>6</v>
      </c>
      <c r="G175" s="7" t="b">
        <v>0</v>
      </c>
      <c r="H175" s="5">
        <v>2</v>
      </c>
      <c r="I175" s="5" t="s">
        <v>1</v>
      </c>
      <c r="J175" s="7">
        <v>12</v>
      </c>
      <c r="K175" s="5" t="b">
        <v>0</v>
      </c>
      <c r="L175" s="5" t="b">
        <v>0</v>
      </c>
      <c r="M175" s="39" t="s">
        <v>699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8" t="s">
        <v>71</v>
      </c>
      <c r="BK175" s="5" t="s">
        <v>70</v>
      </c>
      <c r="BL175" s="5"/>
      <c r="BM175" s="5" t="b">
        <v>0</v>
      </c>
      <c r="CO175" s="31" t="str">
        <f t="shared" si="42"/>
        <v>.cs-design-notecdn</v>
      </c>
    </row>
    <row r="176" spans="1:93">
      <c r="A176" s="38" t="str">
        <f t="shared" si="22"/>
        <v>cs-image-placement (cimg)</v>
      </c>
      <c r="C176" s="7" t="s">
        <v>439</v>
      </c>
      <c r="D176" s="7" t="s">
        <v>610</v>
      </c>
      <c r="E176" s="38" t="str">
        <f t="shared" si="41"/>
        <v>cs-image-placement (cimg)</v>
      </c>
      <c r="F176" s="5">
        <v>6</v>
      </c>
      <c r="G176" s="7" t="b">
        <v>0</v>
      </c>
      <c r="H176" s="5">
        <v>2</v>
      </c>
      <c r="I176" s="5" t="s">
        <v>1</v>
      </c>
      <c r="J176" s="7">
        <v>12</v>
      </c>
      <c r="K176" s="5" t="b">
        <v>0</v>
      </c>
      <c r="L176" s="5" t="b">
        <v>0</v>
      </c>
      <c r="M176" s="39" t="s">
        <v>699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8" t="s">
        <v>71</v>
      </c>
      <c r="BK176" s="5" t="s">
        <v>70</v>
      </c>
      <c r="BL176" s="5"/>
      <c r="BM176" s="5" t="b">
        <v>0</v>
      </c>
      <c r="CO176" s="31" t="str">
        <f t="shared" si="42"/>
        <v>.cs-image-placementcimg</v>
      </c>
    </row>
    <row r="177" spans="1:93">
      <c r="A177" s="38" t="str">
        <f t="shared" si="22"/>
        <v>hyperlink (url)</v>
      </c>
      <c r="C177" s="7" t="s">
        <v>440</v>
      </c>
      <c r="D177" s="7" t="s">
        <v>217</v>
      </c>
      <c r="E177" s="38" t="str">
        <f t="shared" si="41"/>
        <v>hyperlink (url)</v>
      </c>
      <c r="F177" s="5">
        <v>6</v>
      </c>
      <c r="G177" s="7" t="b">
        <v>0</v>
      </c>
      <c r="H177" s="5">
        <v>2</v>
      </c>
      <c r="I177" s="5" t="s">
        <v>67</v>
      </c>
      <c r="J177" s="7">
        <v>12</v>
      </c>
      <c r="K177" s="5" t="b">
        <v>0</v>
      </c>
      <c r="L177" s="5" t="b">
        <v>0</v>
      </c>
      <c r="M177" s="39" t="s">
        <v>699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55" t="s">
        <v>711</v>
      </c>
      <c r="BK177" s="5" t="s">
        <v>70</v>
      </c>
      <c r="BL177" s="5"/>
      <c r="BM177" s="5" t="b">
        <v>0</v>
      </c>
      <c r="CO177" s="31" t="str">
        <f t="shared" si="42"/>
        <v>.hyperlinkurl</v>
      </c>
    </row>
    <row r="178" spans="1:93">
      <c r="A178" s="38" t="str">
        <f t="shared" si="22"/>
        <v>special-characters (sym)</v>
      </c>
      <c r="C178" s="7" t="s">
        <v>441</v>
      </c>
      <c r="D178" s="7" t="s">
        <v>220</v>
      </c>
      <c r="E178" s="38" t="str">
        <f t="shared" si="41"/>
        <v>special-characters (sym)</v>
      </c>
      <c r="F178" s="5">
        <v>6</v>
      </c>
      <c r="G178" s="7" t="b">
        <v>0</v>
      </c>
      <c r="H178" s="5">
        <v>2</v>
      </c>
      <c r="I178" s="5" t="s">
        <v>67</v>
      </c>
      <c r="J178" s="7">
        <v>12</v>
      </c>
      <c r="K178" s="5" t="b">
        <v>0</v>
      </c>
      <c r="L178" s="5" t="b">
        <v>0</v>
      </c>
      <c r="M178" s="6" t="s">
        <v>698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6" t="s">
        <v>712</v>
      </c>
      <c r="BK178" s="5" t="s">
        <v>70</v>
      </c>
      <c r="BL178" s="5"/>
      <c r="BM178" s="5" t="b">
        <v>0</v>
      </c>
      <c r="CO178" s="31" t="str">
        <f t="shared" si="42"/>
        <v>.special-characterssym</v>
      </c>
    </row>
    <row r="179" spans="1:93">
      <c r="A179" s="38" t="str">
        <f t="shared" si="22"/>
        <v>cross-reference (xref)</v>
      </c>
      <c r="C179" s="7" t="s">
        <v>442</v>
      </c>
      <c r="D179" s="7" t="s">
        <v>216</v>
      </c>
      <c r="E179" s="38" t="str">
        <f t="shared" si="41"/>
        <v>cross-reference (xref)</v>
      </c>
      <c r="F179" s="5">
        <v>6</v>
      </c>
      <c r="G179" s="7" t="b">
        <v>0</v>
      </c>
      <c r="H179" s="5">
        <v>2</v>
      </c>
      <c r="I179" s="5" t="s">
        <v>67</v>
      </c>
      <c r="J179" s="7">
        <v>12</v>
      </c>
      <c r="K179" s="5" t="b">
        <v>0</v>
      </c>
      <c r="L179" s="5" t="b">
        <v>0</v>
      </c>
      <c r="M179" s="39" t="s">
        <v>699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5" t="s">
        <v>711</v>
      </c>
      <c r="BK179" s="5" t="s">
        <v>70</v>
      </c>
      <c r="BL179" s="5"/>
      <c r="BM179" s="5" t="b">
        <v>0</v>
      </c>
      <c r="CO179" s="31" t="str">
        <f t="shared" si="42"/>
        <v>.cross-referencexref</v>
      </c>
    </row>
    <row r="180" spans="1:93">
      <c r="A180" s="38" t="str">
        <f>IF($D180="","",TRIM($C180)&amp;" "&amp;CHAR(40)&amp;TRIM($D180)&amp;CHAR(41))</f>
        <v>redacted-text (red)</v>
      </c>
      <c r="C180" s="7" t="s">
        <v>583</v>
      </c>
      <c r="D180" s="7" t="s">
        <v>584</v>
      </c>
      <c r="E180" s="38" t="s">
        <v>585</v>
      </c>
      <c r="F180" s="5">
        <v>6</v>
      </c>
      <c r="G180" s="7" t="b">
        <v>0</v>
      </c>
      <c r="H180" s="5">
        <v>2</v>
      </c>
      <c r="I180" s="5" t="s">
        <v>67</v>
      </c>
      <c r="J180" s="7">
        <v>12</v>
      </c>
      <c r="K180" s="5" t="b">
        <v>0</v>
      </c>
      <c r="L180" s="5" t="b">
        <v>0</v>
      </c>
      <c r="M180" s="6" t="s">
        <v>698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8" t="s">
        <v>714</v>
      </c>
      <c r="BK180" s="5" t="s">
        <v>70</v>
      </c>
      <c r="BL180" s="5"/>
      <c r="BM180" s="5" t="b">
        <v>0</v>
      </c>
      <c r="CO180" s="31" t="str">
        <f t="shared" ref="CO180:CO181" si="45">"."&amp;SUBSTITUTE(SUBSTITUTE(SUBSTITUTE(SUBSTITUTE(A180, "(",""),")","")," ",""),"#","")</f>
        <v>.redacted-textred</v>
      </c>
    </row>
    <row r="181" spans="1:93">
      <c r="A181" s="38" t="str">
        <f>IF($D181="","",TRIM($C181)&amp;" "&amp;CHAR(40)&amp;TRIM($D181)&amp;CHAR(41))</f>
        <v>keyphrase (kp)</v>
      </c>
      <c r="C181" s="7" t="s">
        <v>586</v>
      </c>
      <c r="D181" s="7" t="s">
        <v>587</v>
      </c>
      <c r="E181" s="38" t="s">
        <v>588</v>
      </c>
      <c r="F181" s="5">
        <v>6</v>
      </c>
      <c r="G181" s="7" t="b">
        <v>0</v>
      </c>
      <c r="H181" s="5">
        <v>2</v>
      </c>
      <c r="I181" s="5" t="s">
        <v>67</v>
      </c>
      <c r="J181" s="7">
        <v>12</v>
      </c>
      <c r="K181" s="5" t="b">
        <v>0</v>
      </c>
      <c r="L181" s="5" t="b">
        <v>0</v>
      </c>
      <c r="M181" s="39" t="s">
        <v>699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55" t="s">
        <v>711</v>
      </c>
      <c r="BK181" s="5" t="s">
        <v>70</v>
      </c>
      <c r="BL181" s="5"/>
      <c r="BM181" s="5" t="b">
        <v>0</v>
      </c>
      <c r="CO181" s="31" t="str">
        <f t="shared" si="45"/>
        <v>.keyphrasekp</v>
      </c>
    </row>
    <row r="182" spans="1:93">
      <c r="A182" s="38" t="str">
        <f t="shared" si="22"/>
        <v>cs-cleanup-exclude (cex)</v>
      </c>
      <c r="C182" s="7" t="s">
        <v>443</v>
      </c>
      <c r="D182" s="7" t="s">
        <v>444</v>
      </c>
      <c r="E182" s="38" t="str">
        <f t="shared" si="41"/>
        <v>cs-cleanup-exclude (cex)</v>
      </c>
      <c r="F182" s="5">
        <v>6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698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56" t="s">
        <v>712</v>
      </c>
      <c r="BK182" s="5" t="s">
        <v>70</v>
      </c>
      <c r="BL182" s="5"/>
      <c r="BM182" s="5" t="b">
        <v>0</v>
      </c>
      <c r="CO182" s="31" t="str">
        <f t="shared" si="42"/>
        <v>.cs-cleanup-excludecex</v>
      </c>
    </row>
    <row r="183" spans="1:93">
      <c r="A183" s="38" t="str">
        <f t="shared" si="22"/>
        <v>bookmaker-keep-together (bkt)</v>
      </c>
      <c r="C183" s="7" t="s">
        <v>445</v>
      </c>
      <c r="D183" s="7" t="s">
        <v>215</v>
      </c>
      <c r="E183" s="38" t="str">
        <f t="shared" si="41"/>
        <v>bookmaker-keep-together (bkt)</v>
      </c>
      <c r="F183" s="5">
        <v>6</v>
      </c>
      <c r="G183" s="5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698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J183" s="5"/>
      <c r="AK183" s="5"/>
      <c r="AL183" s="5"/>
      <c r="AM183" s="6"/>
      <c r="AN183" s="5"/>
      <c r="AO183" s="5"/>
      <c r="AP183" s="5"/>
      <c r="AQ183" s="6"/>
      <c r="AR183" s="5"/>
      <c r="AS183" s="5"/>
      <c r="AT183" s="5"/>
      <c r="AU183" s="6"/>
      <c r="AV183" s="5"/>
      <c r="AW183" s="5"/>
      <c r="AX183" s="5"/>
      <c r="AY183" s="6"/>
      <c r="AZ183" s="5"/>
      <c r="BA183" s="5"/>
      <c r="BB183" s="5"/>
      <c r="BC183" s="5"/>
      <c r="BD183" s="5"/>
      <c r="BE183" s="5"/>
      <c r="BF183" s="6"/>
      <c r="BG183" s="6" t="s">
        <v>66</v>
      </c>
      <c r="BH183" s="5">
        <v>0</v>
      </c>
      <c r="BI183" s="5">
        <v>0</v>
      </c>
      <c r="BJ183" s="57" t="s">
        <v>713</v>
      </c>
      <c r="BK183" s="5" t="s">
        <v>70</v>
      </c>
      <c r="BL183" s="5"/>
      <c r="BM183" s="5" t="b">
        <v>0</v>
      </c>
      <c r="CO183" s="24" t="str">
        <f t="shared" si="42"/>
        <v>.bookmaker-keep-togetherbkt</v>
      </c>
    </row>
    <row r="184" spans="1:93">
      <c r="A184" s="38" t="str">
        <f t="shared" si="22"/>
        <v>bookmaker-loosen (bln)</v>
      </c>
      <c r="C184" s="7" t="s">
        <v>448</v>
      </c>
      <c r="D184" s="7" t="s">
        <v>449</v>
      </c>
      <c r="E184" s="38" t="str">
        <f t="shared" si="41"/>
        <v>bookmaker-loosen (bln)</v>
      </c>
      <c r="F184" s="5">
        <v>6</v>
      </c>
      <c r="G184" s="5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698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J184" s="5"/>
      <c r="AK184" s="5"/>
      <c r="AL184" s="5"/>
      <c r="AM184" s="6"/>
      <c r="AN184" s="5"/>
      <c r="AO184" s="5"/>
      <c r="AP184" s="5"/>
      <c r="AQ184" s="6"/>
      <c r="AR184" s="5"/>
      <c r="AS184" s="5"/>
      <c r="AT184" s="5"/>
      <c r="AU184" s="6"/>
      <c r="AV184" s="5"/>
      <c r="AW184" s="5"/>
      <c r="AX184" s="5"/>
      <c r="AY184" s="6"/>
      <c r="AZ184" s="5"/>
      <c r="BA184" s="5"/>
      <c r="BB184" s="5"/>
      <c r="BC184" s="5"/>
      <c r="BD184" s="5"/>
      <c r="BE184" s="5"/>
      <c r="BF184" s="6"/>
      <c r="BG184" s="6" t="s">
        <v>66</v>
      </c>
      <c r="BH184" s="5">
        <v>0</v>
      </c>
      <c r="BI184" s="5">
        <v>0</v>
      </c>
      <c r="BJ184" s="57" t="s">
        <v>713</v>
      </c>
      <c r="BK184" s="5" t="s">
        <v>70</v>
      </c>
      <c r="BL184" s="5"/>
      <c r="BM184" s="5" t="b">
        <v>0</v>
      </c>
      <c r="CO184" s="24" t="str">
        <f t="shared" si="42"/>
        <v>.bookmaker-loosenbln</v>
      </c>
    </row>
    <row r="185" spans="1:93">
      <c r="A185" s="38" t="str">
        <f t="shared" si="22"/>
        <v>bookmaker-tighten (bti)</v>
      </c>
      <c r="C185" s="26" t="s">
        <v>446</v>
      </c>
      <c r="D185" s="36" t="s">
        <v>447</v>
      </c>
      <c r="E185" s="38" t="str">
        <f t="shared" si="41"/>
        <v>bookmaker-tighten (bti)</v>
      </c>
      <c r="F185" s="5">
        <v>6</v>
      </c>
      <c r="G185" s="5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698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J185" s="5"/>
      <c r="AK185" s="5"/>
      <c r="AL185" s="5"/>
      <c r="AM185" s="6"/>
      <c r="AN185" s="5"/>
      <c r="AO185" s="5"/>
      <c r="AP185" s="5"/>
      <c r="AQ185" s="6"/>
      <c r="AR185" s="5"/>
      <c r="AS185" s="5"/>
      <c r="AT185" s="5"/>
      <c r="AU185" s="6"/>
      <c r="AV185" s="5"/>
      <c r="AW185" s="5"/>
      <c r="AX185" s="5"/>
      <c r="AY185" s="6"/>
      <c r="AZ185" s="5"/>
      <c r="BA185" s="5"/>
      <c r="BB185" s="5"/>
      <c r="BC185" s="5"/>
      <c r="BD185" s="5"/>
      <c r="BE185" s="5"/>
      <c r="BF185" s="6"/>
      <c r="BG185" s="6" t="s">
        <v>66</v>
      </c>
      <c r="BH185" s="5">
        <v>0</v>
      </c>
      <c r="BI185" s="5">
        <v>0</v>
      </c>
      <c r="BJ185" s="57" t="s">
        <v>713</v>
      </c>
      <c r="BK185" s="5" t="s">
        <v>70</v>
      </c>
      <c r="BL185" s="5"/>
      <c r="BM185" s="5" t="b">
        <v>0</v>
      </c>
      <c r="CO185" s="24" t="str">
        <f t="shared" si="42"/>
        <v>.bookmaker-tightenbti</v>
      </c>
    </row>
    <row r="186" spans="1:93">
      <c r="A186" s="23" t="str">
        <f t="shared" ref="A186:A188" si="46">IF($D186="","",TRIM($C186)&amp;" "&amp;CHAR(40)&amp;TRIM($D186)&amp;CHAR(41))</f>
        <v/>
      </c>
      <c r="CO186" s="24" t="str">
        <f t="shared" ref="CO186:CO188" si="47">SUBSTITUTE(SUBSTITUTE(SUBSTITUTE(SUBSTITUTE(A186, "(",""),")","")," ",""),"#","")</f>
        <v/>
      </c>
    </row>
    <row r="187" spans="1:93">
      <c r="A187" s="23" t="str">
        <f t="shared" si="46"/>
        <v/>
      </c>
      <c r="CO187" s="24" t="str">
        <f t="shared" si="47"/>
        <v/>
      </c>
    </row>
    <row r="188" spans="1:93">
      <c r="A188" s="23" t="str">
        <f t="shared" si="46"/>
        <v/>
      </c>
      <c r="CO188" s="24" t="str">
        <f t="shared" si="47"/>
        <v/>
      </c>
    </row>
    <row r="189" spans="1:93">
      <c r="A189" s="23" t="str">
        <f>IF($D189="","",TRIM($D185)&amp;" "&amp;CHAR(40)&amp;TRIM($D189)&amp;CHAR(41))</f>
        <v/>
      </c>
      <c r="CO189" s="24" t="str">
        <f t="shared" ref="CO189:CO193" si="48">SUBSTITUTE(SUBSTITUTE(SUBSTITUTE(SUBSTITUTE(A189, "(",""),")","")," ",""),"#","")</f>
        <v/>
      </c>
    </row>
    <row r="190" spans="1:93">
      <c r="A190" s="23" t="str">
        <f t="shared" ref="A190:A193" si="49">IF($D190="","",TRIM($C190)&amp;" "&amp;CHAR(40)&amp;TRIM($D190)&amp;CHAR(41))</f>
        <v/>
      </c>
      <c r="CO190" s="24" t="str">
        <f t="shared" si="48"/>
        <v/>
      </c>
    </row>
    <row r="191" spans="1:93">
      <c r="A191" s="23" t="str">
        <f t="shared" si="49"/>
        <v/>
      </c>
      <c r="CO191" s="24" t="str">
        <f t="shared" si="48"/>
        <v/>
      </c>
    </row>
    <row r="192" spans="1:93">
      <c r="A192" s="23" t="str">
        <f t="shared" si="49"/>
        <v/>
      </c>
      <c r="CO192" s="24" t="str">
        <f t="shared" si="48"/>
        <v/>
      </c>
    </row>
    <row r="193" spans="1:93">
      <c r="A193" s="23" t="str">
        <f t="shared" si="49"/>
        <v/>
      </c>
      <c r="CO193" s="24" t="str">
        <f t="shared" si="48"/>
        <v/>
      </c>
    </row>
    <row r="194" spans="1:93">
      <c r="A194" s="23"/>
      <c r="CO194" s="24"/>
    </row>
    <row r="195" spans="1:93">
      <c r="A195" s="23"/>
      <c r="CO195" s="24"/>
    </row>
    <row r="196" spans="1:93">
      <c r="A196" s="23"/>
      <c r="CO196" s="24"/>
    </row>
    <row r="197" spans="1:93">
      <c r="A197" s="23"/>
      <c r="CO197" s="24"/>
    </row>
    <row r="198" spans="1:93">
      <c r="A198" s="23"/>
      <c r="CO198" s="24"/>
    </row>
    <row r="199" spans="1:93">
      <c r="A199" s="23"/>
      <c r="CO199" s="24"/>
    </row>
    <row r="200" spans="1:93">
      <c r="A200" s="23"/>
      <c r="CO200" s="24"/>
    </row>
    <row r="201" spans="1:93">
      <c r="A201" s="23"/>
      <c r="CO201" s="24"/>
    </row>
    <row r="202" spans="1:93">
      <c r="A202" s="23"/>
      <c r="CO202" s="24"/>
    </row>
    <row r="203" spans="1:93">
      <c r="A203" s="23"/>
      <c r="CO203" s="24"/>
    </row>
    <row r="204" spans="1:93">
      <c r="A204" s="23"/>
      <c r="CO204" s="24"/>
    </row>
    <row r="205" spans="1:93">
      <c r="A205" s="23"/>
      <c r="CO205" s="24"/>
    </row>
    <row r="206" spans="1:93">
      <c r="A206" s="23"/>
      <c r="CO206" s="24"/>
    </row>
    <row r="207" spans="1:93">
      <c r="A207" s="23"/>
      <c r="CO207" s="24"/>
    </row>
    <row r="208" spans="1:93">
      <c r="A208" s="23"/>
      <c r="CO208" s="24"/>
    </row>
    <row r="209" spans="1:93">
      <c r="A209" s="23"/>
      <c r="CO209" s="24"/>
    </row>
    <row r="210" spans="1:93">
      <c r="A210" s="23"/>
      <c r="CO210" s="24"/>
    </row>
    <row r="211" spans="1:93">
      <c r="A211" s="23"/>
      <c r="CO211" s="24"/>
    </row>
    <row r="212" spans="1:93">
      <c r="A212" s="23"/>
      <c r="CO212" s="24"/>
    </row>
    <row r="213" spans="1:93">
      <c r="A213" s="23"/>
      <c r="CO213" s="24"/>
    </row>
    <row r="214" spans="1:93">
      <c r="A214" s="23"/>
      <c r="CO214" s="24"/>
    </row>
    <row r="215" spans="1:93">
      <c r="A215" s="23"/>
      <c r="CO215" s="24"/>
    </row>
    <row r="216" spans="1:93">
      <c r="A216" s="23"/>
      <c r="CO216" s="24"/>
    </row>
    <row r="217" spans="1:93">
      <c r="A217" s="23"/>
      <c r="CO217" s="24"/>
    </row>
    <row r="218" spans="1:93">
      <c r="A218" s="23"/>
      <c r="CO218" s="24"/>
    </row>
    <row r="219" spans="1:93">
      <c r="A219" s="23"/>
      <c r="CO219" s="24"/>
    </row>
    <row r="220" spans="1:93">
      <c r="A220" s="23"/>
      <c r="CO220" s="24"/>
    </row>
    <row r="221" spans="1:93">
      <c r="A221" s="23"/>
      <c r="CO221" s="24"/>
    </row>
    <row r="222" spans="1:93">
      <c r="A222" s="23"/>
      <c r="CO222" s="24"/>
    </row>
    <row r="223" spans="1:93">
      <c r="A223" s="23"/>
      <c r="CO223" s="24"/>
    </row>
  </sheetData>
  <sheetProtection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86:D1048576 D1:D3">
    <cfRule type="duplicateValues" dxfId="122" priority="30"/>
  </conditionalFormatting>
  <conditionalFormatting sqref="G1:G1048576">
    <cfRule type="containsText" dxfId="121" priority="24" operator="containsText" text="true">
      <formula>NOT(ISERROR(SEARCH("true",G1)))</formula>
    </cfRule>
  </conditionalFormatting>
  <conditionalFormatting sqref="D4:D9 D11:D15">
    <cfRule type="duplicateValues" dxfId="120" priority="20"/>
  </conditionalFormatting>
  <conditionalFormatting sqref="D10">
    <cfRule type="duplicateValues" dxfId="119" priority="19"/>
  </conditionalFormatting>
  <conditionalFormatting sqref="D16">
    <cfRule type="duplicateValues" dxfId="118" priority="18"/>
  </conditionalFormatting>
  <conditionalFormatting sqref="D17:D19 D22:D34">
    <cfRule type="duplicateValues" dxfId="117" priority="17"/>
  </conditionalFormatting>
  <conditionalFormatting sqref="D20">
    <cfRule type="duplicateValues" dxfId="116" priority="16"/>
  </conditionalFormatting>
  <conditionalFormatting sqref="D21">
    <cfRule type="duplicateValues" dxfId="115" priority="15"/>
  </conditionalFormatting>
  <conditionalFormatting sqref="A141:AP144 AR141:CT144 A140:CT140 A139:AP139 AR136:AS139 A145:L161 BG145:CT161 AN136:AP138 AN135:AS135 AV135:AW139 BA135:CT139 A178:CT178 A175:L177 N175:CT177 A180:CT180 A179:L179 N179:CT179 A182:CT185 A181:L181 N181:CT181 A162:CT174 A135:AK138 R84:R167 S27:V185 A4:CT134">
    <cfRule type="containsText" dxfId="114" priority="14" operator="containsText" text="true">
      <formula>NOT(ISERROR(SEARCH("true",A4)))</formula>
    </cfRule>
  </conditionalFormatting>
  <conditionalFormatting sqref="AQ141:AQ144">
    <cfRule type="containsText" dxfId="113" priority="12" operator="containsText" text="true">
      <formula>NOT(ISERROR(SEARCH("true",AQ141)))</formula>
    </cfRule>
  </conditionalFormatting>
  <conditionalFormatting sqref="M145:AP161 AR145:BF161">
    <cfRule type="containsText" dxfId="112" priority="11" operator="containsText" text="true">
      <formula>NOT(ISERROR(SEARCH("true",M145)))</formula>
    </cfRule>
  </conditionalFormatting>
  <conditionalFormatting sqref="AQ145:AQ161">
    <cfRule type="containsText" dxfId="111" priority="10" operator="containsText" text="true">
      <formula>NOT(ISERROR(SEARCH("true",AQ145)))</formula>
    </cfRule>
  </conditionalFormatting>
  <conditionalFormatting sqref="AL135:AM138">
    <cfRule type="containsText" dxfId="110" priority="9" operator="containsText" text="true">
      <formula>NOT(ISERROR(SEARCH("true",AL135)))</formula>
    </cfRule>
  </conditionalFormatting>
  <conditionalFormatting sqref="AT136:AT139 AT135:AU135">
    <cfRule type="containsText" dxfId="109" priority="8" operator="containsText" text="true">
      <formula>NOT(ISERROR(SEARCH("true",AT135)))</formula>
    </cfRule>
  </conditionalFormatting>
  <conditionalFormatting sqref="AX136:AX139 AX135:AY135">
    <cfRule type="containsText" dxfId="108" priority="7" operator="containsText" text="true">
      <formula>NOT(ISERROR(SEARCH("true",AX135)))</formula>
    </cfRule>
  </conditionalFormatting>
  <conditionalFormatting sqref="AZ135:AZ139">
    <cfRule type="containsText" dxfId="107" priority="6" operator="containsText" text="true">
      <formula>NOT(ISERROR(SEARCH("true",AZ135)))</formula>
    </cfRule>
  </conditionalFormatting>
  <conditionalFormatting sqref="M175">
    <cfRule type="containsText" dxfId="106" priority="5" operator="containsText" text="true">
      <formula>NOT(ISERROR(SEARCH("true",M175)))</formula>
    </cfRule>
  </conditionalFormatting>
  <conditionalFormatting sqref="M176">
    <cfRule type="containsText" dxfId="105" priority="4" operator="containsText" text="true">
      <formula>NOT(ISERROR(SEARCH("true",M176)))</formula>
    </cfRule>
  </conditionalFormatting>
  <conditionalFormatting sqref="M177">
    <cfRule type="containsText" dxfId="104" priority="3" operator="containsText" text="true">
      <formula>NOT(ISERROR(SEARCH("true",M177)))</formula>
    </cfRule>
  </conditionalFormatting>
  <conditionalFormatting sqref="M179">
    <cfRule type="containsText" dxfId="103" priority="2" operator="containsText" text="true">
      <formula>NOT(ISERROR(SEARCH("true",M179)))</formula>
    </cfRule>
  </conditionalFormatting>
  <conditionalFormatting sqref="M181">
    <cfRule type="containsText" dxfId="102" priority="1" operator="containsText" text="true">
      <formula>NOT(ISERROR(SEARCH("true",M181)))</formula>
    </cfRule>
  </conditionalFormatting>
  <dataValidations count="14">
    <dataValidation type="whole" allowBlank="1" showInputMessage="1" showErrorMessage="1" sqref="H186:H323 H111 H115:H117 H4:H104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5:H110 H112:H114 H118:H185">
      <formula1>1</formula1>
      <formula2>4</formula2>
    </dataValidation>
    <dataValidation type="list" allowBlank="1" showInputMessage="1" showErrorMessage="1" sqref="E186:E1048576 E141:E161 E135:E137 E111 E118:E122 E83:E84 E114 E1:E66">
      <formula1>$A$4:$A$185</formula1>
    </dataValidation>
    <dataValidation type="decimal" operator="greaterThanOrEqual" allowBlank="1" showInputMessage="1" showErrorMessage="1" sqref="BB4:BE323 AH4:AH323 AA4:AD323 AF4:AF323 J4:J323">
      <formula1>0</formula1>
    </dataValidation>
    <dataValidation type="whole" allowBlank="1" showInputMessage="1" showErrorMessage="1" sqref="AI4:AI323">
      <formula1>1</formula1>
      <formula2>10</formula2>
    </dataValidation>
    <dataValidation type="whole" allowBlank="1" showInputMessage="1" showErrorMessage="1" sqref="BH4:BH323 AN4:AN323 AV4:AV323 AR4:AR323 AZ4:AZ323">
      <formula1>0</formula1>
      <formula2>24</formula2>
    </dataValidation>
    <dataValidation type="whole" allowBlank="1" showInputMessage="1" showErrorMessage="1" sqref="AG4:AG323">
      <formula1>0</formula1>
      <formula2>9</formula2>
    </dataValidation>
    <dataValidation type="whole" allowBlank="1" showInputMessage="1" showErrorMessage="1" sqref="AE4:AE323">
      <formula1>0</formula1>
      <formula2>5</formula2>
    </dataValidation>
    <dataValidation type="decimal" operator="greaterThanOrEqual" allowBlank="1" showInputMessage="1" showErrorMessage="1" sqref="F4:F323">
      <formula1>1</formula1>
    </dataValidation>
    <dataValidation type="whole" allowBlank="1" showInputMessage="1" showErrorMessage="1" sqref="BL4:BL323">
      <formula1>0</formula1>
      <formula2>0</formula2>
    </dataValidation>
    <dataValidation type="custom" allowBlank="1" showInputMessage="1" showErrorMessage="1" sqref="D185">
      <formula1>COUNTIF($C:$D, E189)&lt;=1</formula1>
    </dataValidation>
    <dataValidation type="custom" allowBlank="1" showInputMessage="1" showErrorMessage="1" sqref="A190:A323 A4:A188 E112:E113 E138:E140 C186:C188 C190:C323 D186:D323 E67:E82 E162:E185 E115:E117 E85:E110 E123:E134 C4:D34">
      <formula1>COUNTIF($C:$D, C4)&lt;=1</formula1>
    </dataValidation>
    <dataValidation type="custom" allowBlank="1" showInputMessage="1" showErrorMessage="1" sqref="D35:D184">
      <formula1>COUNTIF($C:$D, E35)&lt;=1</formula1>
    </dataValidation>
    <dataValidation type="custom" allowBlank="1" showInputMessage="1" showErrorMessage="1" sqref="A189">
      <formula1>COUNTIF($C:$D, D185)&lt;=1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validation_menus!$A$2:$A$3</xm:f>
          </x14:formula1>
          <xm:sqref>G4:G323 CQ4:CQ323 BM4:BM323 BS4:CK323 CT4:CT323 K4:L323 X35:Z323 AJ35:AK323 AX122 AP35:AP323 AL122 AT122 AT135:AT139 AX135:AX139 N35:R323 S186:V323</xm:sqref>
        </x14:dataValidation>
        <x14:dataValidation type="list" allowBlank="1" showInputMessage="1" showErrorMessage="1">
          <x14:formula1>
            <xm:f>validation_menus!$B$2:$B$10</xm:f>
          </x14:formula1>
          <xm:sqref>BI4:BI323 AO35:AO323 AW35:AW323 AS35:AS323 BA35:BA323</xm:sqref>
        </x14:dataValidation>
        <x14:dataValidation type="list" allowBlank="1" showInputMessage="1" showErrorMessage="1">
          <x14:formula1>
            <xm:f>validation_menus!$C$2:$C$3</xm:f>
          </x14:formula1>
          <xm:sqref>BK4:BK323</xm:sqref>
        </x14:dataValidation>
        <x14:dataValidation type="list" allowBlank="1" showInputMessage="1" showErrorMessage="1">
          <x14:formula1>
            <xm:f>validation_menus!$D$2:$D$95</xm:f>
          </x14:formula1>
          <xm:sqref>W35:W323</xm:sqref>
        </x14:dataValidation>
        <x14:dataValidation type="list" allowBlank="1" showInputMessage="1" showErrorMessage="1">
          <x14:formula1>
            <xm:f>validation_menus!$E$2:$E$6</xm:f>
          </x14:formula1>
          <xm:sqref>I4:I323</xm:sqref>
        </x14:dataValidation>
        <x14:dataValidation type="list" allowBlank="1" showInputMessage="1" showErrorMessage="1">
          <x14:formula1>
            <xm:f>[1]validation_menus!#REF!</xm:f>
          </x14:formula1>
          <xm:sqref>W4:W34</xm:sqref>
        </x14:dataValidation>
        <x14:dataValidation type="list" allowBlank="1" showInputMessage="1" showErrorMessage="1">
          <x14:formula1>
            <xm:f>[1]validation_menus!#REF!</xm:f>
          </x14:formula1>
          <xm:sqref>X4:Z34 AP4:AP34 AJ4:AK34 N4:R34 S4:V185</xm:sqref>
        </x14:dataValidation>
        <x14:dataValidation type="list" allowBlank="1" showInputMessage="1" showErrorMessage="1">
          <x14:formula1>
            <xm:f>[1]validation_menus!#REF!</xm:f>
          </x14:formula1>
          <xm:sqref>BA4:BA34 AW4:AW34 AS4:AS34 AO4:AO34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5"/>
  <cols>
    <col min="2" max="2" width="15" bestFit="1" customWidth="1"/>
    <col min="3" max="3" width="13.16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</row>
    <row r="4" spans="1:6">
      <c r="B4">
        <v>6</v>
      </c>
      <c r="D4" t="s">
        <v>108</v>
      </c>
      <c r="E4" s="22" t="s">
        <v>68</v>
      </c>
    </row>
    <row r="5" spans="1:6">
      <c r="B5">
        <v>8</v>
      </c>
      <c r="D5" t="s">
        <v>109</v>
      </c>
      <c r="E5" s="22" t="s">
        <v>72</v>
      </c>
    </row>
    <row r="6" spans="1:6">
      <c r="B6">
        <v>12</v>
      </c>
      <c r="D6" t="s">
        <v>110</v>
      </c>
      <c r="E6" s="22" t="s">
        <v>67</v>
      </c>
    </row>
    <row r="7" spans="1:6">
      <c r="B7">
        <v>18</v>
      </c>
      <c r="D7" t="s">
        <v>111</v>
      </c>
      <c r="E7" s="22"/>
      <c r="F7" s="22"/>
    </row>
    <row r="8" spans="1:6">
      <c r="B8">
        <v>24</v>
      </c>
      <c r="D8" t="s">
        <v>112</v>
      </c>
      <c r="E8" s="22"/>
    </row>
    <row r="9" spans="1:6">
      <c r="B9">
        <v>36</v>
      </c>
      <c r="D9" t="s">
        <v>113</v>
      </c>
      <c r="E9" s="22"/>
    </row>
    <row r="10" spans="1:6">
      <c r="B10">
        <v>48</v>
      </c>
      <c r="D10" t="s">
        <v>114</v>
      </c>
      <c r="E10" s="22"/>
    </row>
    <row r="11" spans="1:6" ht="17">
      <c r="A11" s="1"/>
      <c r="D11" t="s">
        <v>115</v>
      </c>
      <c r="E11" s="22"/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2018-02-23T20:53:53Z</dcterms:modified>
</cp:coreProperties>
</file>